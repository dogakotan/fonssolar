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ae92b2b545631c0/Masaüstü/"/>
    </mc:Choice>
  </mc:AlternateContent>
  <xr:revisionPtr revIDLastSave="63" documentId="8_{AD8664E6-031E-4C02-8241-9CE0288A3959}" xr6:coauthVersionLast="47" xr6:coauthVersionMax="47" xr10:uidLastSave="{37A1F528-8FB0-4AB4-9C9E-BA39D135010E}"/>
  <bookViews>
    <workbookView xWindow="-98" yWindow="-98" windowWidth="21795" windowHeight="13875" tabRatio="500" xr2:uid="{00000000-000D-0000-FFFF-FFFF00000000}"/>
  </bookViews>
  <sheets>
    <sheet name="Günlük Rapor" sheetId="1" r:id="rId1"/>
  </sheets>
  <definedNames>
    <definedName name="_xlnm.Print_Area" localSheetId="0">'Günlük Rapor'!$A$1:$M$500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82" i="1" l="1"/>
  <c r="G82" i="1"/>
  <c r="H80" i="1"/>
  <c r="I80" i="1" s="1"/>
  <c r="I79" i="1"/>
  <c r="H79" i="1"/>
  <c r="H78" i="1"/>
  <c r="I78" i="1" s="1"/>
  <c r="H77" i="1"/>
  <c r="I77" i="1" s="1"/>
  <c r="H76" i="1"/>
  <c r="I76" i="1" s="1"/>
  <c r="I74" i="1"/>
  <c r="H74" i="1"/>
  <c r="I73" i="1"/>
  <c r="H73" i="1"/>
  <c r="H72" i="1"/>
  <c r="I72" i="1" s="1"/>
  <c r="H71" i="1"/>
  <c r="I71" i="1" s="1"/>
  <c r="H69" i="1"/>
  <c r="I69" i="1" s="1"/>
  <c r="I68" i="1"/>
  <c r="H68" i="1"/>
  <c r="H67" i="1"/>
  <c r="I67" i="1" s="1"/>
  <c r="H66" i="1"/>
  <c r="I66" i="1" s="1"/>
  <c r="H65" i="1"/>
  <c r="I65" i="1" s="1"/>
  <c r="I64" i="1"/>
  <c r="H64" i="1"/>
  <c r="I62" i="1"/>
  <c r="H62" i="1"/>
  <c r="H61" i="1"/>
  <c r="I61" i="1" s="1"/>
  <c r="H60" i="1"/>
  <c r="I60" i="1" s="1"/>
  <c r="H59" i="1"/>
  <c r="I59" i="1" s="1"/>
  <c r="I57" i="1"/>
  <c r="H57" i="1"/>
  <c r="H56" i="1"/>
  <c r="I56" i="1" s="1"/>
  <c r="H55" i="1"/>
  <c r="I55" i="1" s="1"/>
  <c r="H54" i="1"/>
  <c r="I54" i="1" s="1"/>
  <c r="I53" i="1"/>
  <c r="H53" i="1"/>
  <c r="I52" i="1"/>
  <c r="H52" i="1"/>
  <c r="H51" i="1"/>
  <c r="I51" i="1" s="1"/>
  <c r="H49" i="1"/>
  <c r="I49" i="1" s="1"/>
  <c r="H48" i="1"/>
  <c r="I48" i="1" s="1"/>
  <c r="I47" i="1"/>
  <c r="H47" i="1"/>
  <c r="H46" i="1"/>
  <c r="I46" i="1" s="1"/>
  <c r="I12" i="1"/>
  <c r="H12" i="1"/>
  <c r="G12" i="1"/>
  <c r="F12" i="1"/>
  <c r="E12" i="1"/>
  <c r="J11" i="1"/>
  <c r="J10" i="1"/>
  <c r="J9" i="1"/>
  <c r="J1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<sst xmlns="http://schemas.openxmlformats.org/spreadsheetml/2006/main" count="182" uniqueCount="144">
  <si>
    <t>FONS SOLAR  ·  GÜNLÜK ŞANTİYE RAPORU</t>
  </si>
  <si>
    <t>PROJE</t>
  </si>
  <si>
    <t>TARİH</t>
  </si>
  <si>
    <t>RAPOR NO</t>
  </si>
  <si>
    <t>HAVA</t>
  </si>
  <si>
    <t>OLUŞTURAN</t>
  </si>
  <si>
    <t>A</t>
  </si>
  <si>
    <t>PERSONEL DURUMU</t>
  </si>
  <si>
    <t>Personel Tipi</t>
  </si>
  <si>
    <t>İdari</t>
  </si>
  <si>
    <t>Mekanik</t>
  </si>
  <si>
    <t>Elektrik</t>
  </si>
  <si>
    <t>Yevmiyeci</t>
  </si>
  <si>
    <t>Diğer</t>
  </si>
  <si>
    <t>TOPLAM</t>
  </si>
  <si>
    <t>Mühendis / Tekniker</t>
  </si>
  <si>
    <t>Usta / Teknisyen</t>
  </si>
  <si>
    <t>İşçi / Yardımcı</t>
  </si>
  <si>
    <t>B</t>
  </si>
  <si>
    <t>İŞ MAKİNELERİ VE EKİPMAN</t>
  </si>
  <si>
    <t>Ekipman</t>
  </si>
  <si>
    <t>Adet</t>
  </si>
  <si>
    <t>Durum</t>
  </si>
  <si>
    <t>Kullanım Alanı</t>
  </si>
  <si>
    <t>Not</t>
  </si>
  <si>
    <t>Ekskavatör</t>
  </si>
  <si>
    <t>Rok Delgi Makinesi</t>
  </si>
  <si>
    <t>Kolon Çakım Makinesi</t>
  </si>
  <si>
    <t>Forklift</t>
  </si>
  <si>
    <t>Vinç</t>
  </si>
  <si>
    <t>JCB / Loder</t>
  </si>
  <si>
    <t>Kamyon / Nakliye</t>
  </si>
  <si>
    <t>Jeneratör</t>
  </si>
  <si>
    <t>C</t>
  </si>
  <si>
    <t>BUGÜN YAPILAN İŞLER</t>
  </si>
  <si>
    <t>D</t>
  </si>
  <si>
    <t>YARIN YAPILACAK İŞLER</t>
  </si>
  <si>
    <t>E</t>
  </si>
  <si>
    <t>TÜM İŞ KALEMLERİ – GÜNLÜK İLERLEME</t>
  </si>
  <si>
    <t>İş Kalemi</t>
  </si>
  <si>
    <t>Birim</t>
  </si>
  <si>
    <t>Hedef</t>
  </si>
  <si>
    <t>Önceki
Toplam</t>
  </si>
  <si>
    <t>Günlük
İlerleme</t>
  </si>
  <si>
    <t>Kümülatif</t>
  </si>
  <si>
    <t>İlerleme %</t>
  </si>
  <si>
    <t xml:space="preserve">  ▶  SAHA HAZIRLIK &amp; MOBİLİZASYON</t>
  </si>
  <si>
    <t>GES-01</t>
  </si>
  <si>
    <t>Şantiye Kurulumu &amp; Mobilizasyon</t>
  </si>
  <si>
    <t>%</t>
  </si>
  <si>
    <t>GES-02</t>
  </si>
  <si>
    <t>Arazi Tesviye &amp; Düzleme</t>
  </si>
  <si>
    <t>GES-03</t>
  </si>
  <si>
    <t>Ulaşım Yolları Yapımı</t>
  </si>
  <si>
    <t>m</t>
  </si>
  <si>
    <t>GES-04</t>
  </si>
  <si>
    <t>Çevre Çiti &amp; Güvenlik</t>
  </si>
  <si>
    <t xml:space="preserve">  ▶  MEKANİK MONTAJ</t>
  </si>
  <si>
    <t>GES-05</t>
  </si>
  <si>
    <t>Kolon Noktalama &amp; İşaretleme</t>
  </si>
  <si>
    <t>adet</t>
  </si>
  <si>
    <t>GES-06</t>
  </si>
  <si>
    <t>Rok Delgi İşlemi</t>
  </si>
  <si>
    <t>GES-07</t>
  </si>
  <si>
    <t>Kolon Çakım (Kazık Çakımı)</t>
  </si>
  <si>
    <t>GES-08</t>
  </si>
  <si>
    <t>Kiriş (Tracker) Montajı</t>
  </si>
  <si>
    <t>GES-09</t>
  </si>
  <si>
    <t>Aşık Montajı</t>
  </si>
  <si>
    <t>GES-10</t>
  </si>
  <si>
    <t>Panel Montajı</t>
  </si>
  <si>
    <t>GES-11</t>
  </si>
  <si>
    <t>İnvertör Pano Kurulumu</t>
  </si>
  <si>
    <t xml:space="preserve">  ▶  ELEKTRİK – DC TARAF</t>
  </si>
  <si>
    <t>GES-12</t>
  </si>
  <si>
    <t>DC Kablo Kazısı</t>
  </si>
  <si>
    <t>GES-13</t>
  </si>
  <si>
    <t>DC Kablo Çekimi</t>
  </si>
  <si>
    <t>GES-14</t>
  </si>
  <si>
    <t>String Bağlantıları</t>
  </si>
  <si>
    <t>GES-15</t>
  </si>
  <si>
    <t>DC Junction Box Montajı</t>
  </si>
  <si>
    <t xml:space="preserve">  ▶  ELEKTRİK – AC / OG</t>
  </si>
  <si>
    <t>GES-16</t>
  </si>
  <si>
    <t>AC Kablo Çekimi</t>
  </si>
  <si>
    <t>GES-17</t>
  </si>
  <si>
    <t>AC Pano &amp; Dağıtım Tablosu</t>
  </si>
  <si>
    <t>GES-18</t>
  </si>
  <si>
    <t>OG Kablo Kazısı</t>
  </si>
  <si>
    <t>GES-19</t>
  </si>
  <si>
    <t>OG XLPE Kablo Çekimi</t>
  </si>
  <si>
    <t>GES-20</t>
  </si>
  <si>
    <t>OG Hücre Montajı</t>
  </si>
  <si>
    <t>GES-21</t>
  </si>
  <si>
    <t>Trafo Montajı</t>
  </si>
  <si>
    <t xml:space="preserve">  ▶  TOPRAKLAMA VE PARATONER</t>
  </si>
  <si>
    <t>GES-22</t>
  </si>
  <si>
    <t>Topraklama Kazısı</t>
  </si>
  <si>
    <t>GES-23</t>
  </si>
  <si>
    <t>Topraklama Şerit Döşeme</t>
  </si>
  <si>
    <t>GES-24</t>
  </si>
  <si>
    <t>Bakır İletken &amp; Bağlantılar</t>
  </si>
  <si>
    <t>GES-25</t>
  </si>
  <si>
    <t>Paratoner Sistemi</t>
  </si>
  <si>
    <t xml:space="preserve">  ▶  PROJE TAMAMLAMA VE DEVİR</t>
  </si>
  <si>
    <t>GES-26</t>
  </si>
  <si>
    <t>ENH Bağlantı &amp; Projelendirme</t>
  </si>
  <si>
    <t>GES-27</t>
  </si>
  <si>
    <t>Temizlik &amp; Saha Tasfiyesi</t>
  </si>
  <si>
    <t>GES-28</t>
  </si>
  <si>
    <t>Teknik Kabul &amp; Testler</t>
  </si>
  <si>
    <t>GES-29</t>
  </si>
  <si>
    <t>EPDK / Kurul Onayı</t>
  </si>
  <si>
    <t>GES-30</t>
  </si>
  <si>
    <t>As-Built &amp; Dokümantasyon</t>
  </si>
  <si>
    <t>Bugün ilerleme girilen kalem:</t>
  </si>
  <si>
    <t>Günlük toplam:</t>
  </si>
  <si>
    <t>F</t>
  </si>
  <si>
    <t>GELEN MALZEME LİSTESİ</t>
  </si>
  <si>
    <t>Malzeme Adı</t>
  </si>
  <si>
    <t>Tedarikçi</t>
  </si>
  <si>
    <t>Miktar</t>
  </si>
  <si>
    <t>İrsaliye No</t>
  </si>
  <si>
    <t>Teslim Tarihi</t>
  </si>
  <si>
    <t>Depolama Yeri</t>
  </si>
  <si>
    <t>G</t>
  </si>
  <si>
    <t>SATIN ALMA TALEPLERİ</t>
  </si>
  <si>
    <t>İhtiyaç Kalemi</t>
  </si>
  <si>
    <t>Öncelik</t>
  </si>
  <si>
    <t>Gereklilik Tarihi</t>
  </si>
  <si>
    <t>H</t>
  </si>
  <si>
    <t>SAHA SORUNLARI VE ENGELLAR</t>
  </si>
  <si>
    <t>Sorun / Engel Açıklaması</t>
  </si>
  <si>
    <t>Kategori</t>
  </si>
  <si>
    <t>İlgili Kişi</t>
  </si>
  <si>
    <t>Çözüm Durumu</t>
  </si>
  <si>
    <t>Kapatılma
Tarihi</t>
  </si>
  <si>
    <t>I</t>
  </si>
  <si>
    <t>NOTLAR VE İSG</t>
  </si>
  <si>
    <t>Olağandışı Olay / Şantiye Ziyareti</t>
  </si>
  <si>
    <t>Diğer Notlar</t>
  </si>
  <si>
    <t>Raporu Hazırlayan:</t>
  </si>
  <si>
    <t>İmza / Onay:</t>
  </si>
  <si>
    <t>İSG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</si>
</sst>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dd\.mm\.yyyy"/>
  </numFmts>
  <fonts count="26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9"/>
      <color rgb="FF93C5FD"/>
      <name val="Calibri"/>
      <charset val="1"/>
    </font>
    <font>
      <b/>
      <sz val="8"/>
      <color rgb="FF64748B"/>
      <name val="Calibri"/>
      <charset val="1"/>
    </font>
    <font>
      <b/>
      <sz val="11"/>
      <color rgb="FF003B8E"/>
      <name val="Calibri"/>
      <charset val="1"/>
    </font>
    <font>
      <b/>
      <sz val="13"/>
      <color rgb="FFFFFFFF"/>
      <name val="Calibri"/>
      <charset val="1"/>
    </font>
    <font>
      <b/>
      <sz val="11"/>
      <color rgb="FFFFFFFF"/>
      <name val="Calibri"/>
      <charset val="1"/>
    </font>
    <font>
      <b/>
      <sz val="9"/>
      <color rgb="FFFFFFFF"/>
      <name val="Calibri"/>
      <charset val="1"/>
    </font>
    <font>
      <b/>
      <sz val="10"/>
      <color rgb="FF1E293B"/>
      <name val="Calibri"/>
      <charset val="1"/>
    </font>
    <font>
      <sz val="10"/>
      <color rgb="FF1E293B"/>
      <name val="Calibri"/>
      <charset val="1"/>
    </font>
    <font>
      <b/>
      <i/>
      <sz val="11"/>
      <color rgb="FF1E293B"/>
      <name val="Calibri"/>
      <charset val="1"/>
    </font>
    <font>
      <b/>
      <sz val="10"/>
      <color rgb="FFFFFFFF"/>
      <name val="Calibri"/>
      <charset val="1"/>
    </font>
    <font>
      <sz val="9"/>
      <color rgb="FF1E293B"/>
      <name val="Calibri"/>
      <charset val="1"/>
    </font>
    <font>
      <b/>
      <sz val="13"/>
      <color rgb="FF003B8E"/>
      <name val="Calibri"/>
      <charset val="1"/>
    </font>
    <font>
      <b/>
      <sz val="13"/>
      <color rgb="FF92400E"/>
      <name val="Calibri"/>
      <charset val="1"/>
    </font>
    <font>
      <b/>
      <sz val="8"/>
      <color rgb="FF1E3A8A"/>
      <name val="Calibri"/>
      <charset val="1"/>
    </font>
    <font>
      <sz val="8"/>
      <color rgb="FF1E293B"/>
      <name val="Calibri"/>
      <charset val="1"/>
    </font>
    <font>
      <b/>
      <sz val="11"/>
      <color rgb="FF1D4ED8"/>
      <name val="Calibri"/>
      <charset val="1"/>
    </font>
    <font>
      <b/>
      <sz val="9"/>
      <color rgb="FF166534"/>
      <name val="Calibri"/>
      <charset val="1"/>
    </font>
    <font>
      <b/>
      <sz val="8"/>
      <color rgb="FF1E40AF"/>
      <name val="Calibri"/>
      <charset val="1"/>
    </font>
    <font>
      <b/>
      <sz val="8"/>
      <color rgb="FF0F766E"/>
      <name val="Calibri"/>
      <charset val="1"/>
    </font>
    <font>
      <b/>
      <sz val="8"/>
      <color rgb="FF6D28D9"/>
      <name val="Calibri"/>
      <charset val="1"/>
    </font>
    <font>
      <b/>
      <sz val="8"/>
      <color rgb="FF374151"/>
      <name val="Calibri"/>
      <charset val="1"/>
    </font>
    <font>
      <b/>
      <sz val="8"/>
      <color rgb="FF9D174D"/>
      <name val="Calibri"/>
      <charset val="1"/>
    </font>
    <font>
      <b/>
      <sz val="9"/>
      <color rgb="FF64748B"/>
      <name val="Calibri"/>
      <charset val="1"/>
    </font>
    <font>
      <b/>
      <sz val="16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03B8E"/>
        <bgColor rgb="FF1E3A8A"/>
      </patternFill>
    </fill>
    <fill>
      <patternFill patternType="solid">
        <fgColor rgb="FFF8FAFC"/>
        <bgColor rgb="FFFFFFFF"/>
      </patternFill>
    </fill>
    <fill>
      <patternFill patternType="solid">
        <fgColor rgb="FFEFF6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1E3A8A"/>
        <bgColor rgb="FF1E40AF"/>
      </patternFill>
    </fill>
    <fill>
      <patternFill patternType="solid">
        <fgColor rgb="FFDBEAFE"/>
        <bgColor rgb="FFEFF6FF"/>
      </patternFill>
    </fill>
    <fill>
      <patternFill patternType="solid">
        <fgColor rgb="FF0F766E"/>
        <bgColor rgb="FF008080"/>
      </patternFill>
    </fill>
    <fill>
      <patternFill patternType="solid">
        <fgColor rgb="FF1E40AF"/>
        <bgColor rgb="FF1E3A8A"/>
      </patternFill>
    </fill>
    <fill>
      <patternFill patternType="solid">
        <fgColor rgb="FFD97706"/>
        <bgColor rgb="FFFF9900"/>
      </patternFill>
    </fill>
    <fill>
      <patternFill patternType="solid">
        <fgColor rgb="FFFEF9C3"/>
        <bgColor rgb="FFFEF2F2"/>
      </patternFill>
    </fill>
    <fill>
      <patternFill patternType="solid">
        <fgColor rgb="FF6D28D9"/>
        <bgColor rgb="FF800080"/>
      </patternFill>
    </fill>
    <fill>
      <patternFill patternType="solid">
        <fgColor rgb="FF1E293B"/>
        <bgColor rgb="FF374151"/>
      </patternFill>
    </fill>
    <fill>
      <patternFill patternType="solid">
        <fgColor rgb="FF374151"/>
        <bgColor rgb="FF1E3A8A"/>
      </patternFill>
    </fill>
    <fill>
      <patternFill patternType="solid">
        <fgColor rgb="FF9D174D"/>
        <bgColor rgb="FFB91C1C"/>
      </patternFill>
    </fill>
    <fill>
      <patternFill patternType="solid">
        <fgColor rgb="FFB91C1C"/>
        <bgColor rgb="FF9D174D"/>
      </patternFill>
    </fill>
    <fill>
      <patternFill patternType="solid">
        <fgColor rgb="FFFEF2F2"/>
        <bgColor rgb="FFF8FAFC"/>
      </patternFill>
    </fill>
    <fill>
      <patternFill patternType="solid">
        <fgColor rgb="FF003B8E"/>
      </patternFill>
    </fill>
  </fills>
  <borders count="4">
    <border>
      <left/>
      <right/>
      <top/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2" fillId="5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6" borderId="0" xfId="0" applyFont="1" applyFill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1" fontId="10" fillId="7" borderId="2" xfId="0" applyNumberFormat="1" applyFont="1" applyFill="1" applyBorder="1" applyAlignment="1">
      <alignment horizontal="center" vertical="center"/>
    </xf>
    <xf numFmtId="1" fontId="9" fillId="5" borderId="2" xfId="0" applyNumberFormat="1" applyFont="1" applyFill="1" applyBorder="1" applyAlignment="1">
      <alignment horizontal="center" vertical="center"/>
    </xf>
    <xf numFmtId="1" fontId="11" fillId="6" borderId="2" xfId="0" applyNumberFormat="1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0" fontId="0" fillId="8" borderId="0" xfId="0" applyFill="1"/>
    <xf numFmtId="0" fontId="5" fillId="8" borderId="0" xfId="0" applyFont="1" applyFill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1" fontId="12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/>
    </xf>
    <xf numFmtId="0" fontId="0" fillId="9" borderId="0" xfId="0" applyFill="1"/>
    <xf numFmtId="0" fontId="5" fillId="9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0" fillId="10" borderId="0" xfId="0" applyFill="1"/>
    <xf numFmtId="0" fontId="5" fillId="10" borderId="0" xfId="0" applyFont="1" applyFill="1" applyAlignment="1">
      <alignment horizontal="center" vertical="center"/>
    </xf>
    <xf numFmtId="0" fontId="0" fillId="11" borderId="0" xfId="0" applyFill="1"/>
    <xf numFmtId="0" fontId="14" fillId="11" borderId="0" xfId="0" applyFont="1" applyFill="1" applyAlignment="1">
      <alignment horizontal="center" vertical="center"/>
    </xf>
    <xf numFmtId="0" fontId="0" fillId="12" borderId="0" xfId="0" applyFill="1"/>
    <xf numFmtId="0" fontId="5" fillId="12" borderId="0" xfId="0" applyFont="1" applyFill="1" applyAlignment="1">
      <alignment horizontal="center" vertical="center"/>
    </xf>
    <xf numFmtId="0" fontId="0" fillId="13" borderId="0" xfId="0" applyFill="1"/>
    <xf numFmtId="0" fontId="7" fillId="1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3" fontId="12" fillId="3" borderId="2" xfId="0" applyNumberFormat="1" applyFont="1" applyFill="1" applyBorder="1" applyAlignment="1">
      <alignment horizontal="center" vertical="center"/>
    </xf>
    <xf numFmtId="164" fontId="12" fillId="3" borderId="2" xfId="0" applyNumberFormat="1" applyFont="1" applyFill="1" applyBorder="1" applyAlignment="1">
      <alignment horizontal="center" vertical="center"/>
    </xf>
    <xf numFmtId="164" fontId="17" fillId="7" borderId="2" xfId="0" applyNumberFormat="1" applyFont="1" applyFill="1" applyBorder="1" applyAlignment="1">
      <alignment horizontal="center" vertical="center"/>
    </xf>
    <xf numFmtId="165" fontId="18" fillId="3" borderId="2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3" fontId="12" fillId="5" borderId="2" xfId="0" applyNumberFormat="1" applyFont="1" applyFill="1" applyBorder="1" applyAlignment="1">
      <alignment horizontal="center" vertical="center"/>
    </xf>
    <xf numFmtId="164" fontId="12" fillId="5" borderId="2" xfId="0" applyNumberFormat="1" applyFont="1" applyFill="1" applyBorder="1" applyAlignment="1">
      <alignment horizontal="center" vertical="center"/>
    </xf>
    <xf numFmtId="165" fontId="18" fillId="5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0" fillId="14" borderId="0" xfId="0" applyFill="1"/>
    <xf numFmtId="0" fontId="22" fillId="5" borderId="2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/>
    </xf>
    <xf numFmtId="0" fontId="0" fillId="15" borderId="0" xfId="0" applyFill="1"/>
    <xf numFmtId="0" fontId="23" fillId="5" borderId="2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left" vertical="center"/>
    </xf>
    <xf numFmtId="1" fontId="5" fillId="12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166" fontId="12" fillId="3" borderId="2" xfId="0" applyNumberFormat="1" applyFont="1" applyFill="1" applyBorder="1" applyAlignment="1">
      <alignment horizontal="center" vertical="center"/>
    </xf>
    <xf numFmtId="166" fontId="12" fillId="5" borderId="2" xfId="0" applyNumberFormat="1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7" fillId="14" borderId="2" xfId="0" applyFont="1" applyFill="1" applyBorder="1" applyAlignment="1">
      <alignment horizontal="center" vertical="center" wrapText="1"/>
    </xf>
    <xf numFmtId="0" fontId="0" fillId="16" borderId="0" xfId="0" applyFill="1"/>
    <xf numFmtId="0" fontId="5" fillId="16" borderId="0" xfId="0" applyFont="1" applyFill="1" applyAlignment="1">
      <alignment horizontal="center" vertical="center"/>
    </xf>
    <xf numFmtId="0" fontId="7" fillId="16" borderId="2" xfId="0" applyFont="1" applyFill="1" applyBorder="1" applyAlignment="1">
      <alignment horizontal="center" vertical="center" wrapText="1"/>
    </xf>
    <xf numFmtId="0" fontId="0" fillId="17" borderId="0" xfId="0" applyFill="1"/>
    <xf numFmtId="0" fontId="12" fillId="17" borderId="2" xfId="0" applyFont="1" applyFill="1" applyBorder="1" applyAlignment="1">
      <alignment horizontal="center" vertical="center"/>
    </xf>
    <xf numFmtId="166" fontId="12" fillId="17" borderId="2" xfId="0" applyNumberFormat="1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left" vertical="center"/>
    </xf>
    <xf numFmtId="0" fontId="12" fillId="17" borderId="2" xfId="0" applyFont="1" applyFill="1" applyBorder="1" applyAlignment="1">
      <alignment horizontal="left" vertical="center" wrapText="1"/>
    </xf>
    <xf numFmtId="0" fontId="12" fillId="17" borderId="2" xfId="0" applyFont="1" applyFill="1" applyBorder="1" applyAlignment="1">
      <alignment horizontal="left" vertical="center"/>
    </xf>
    <xf numFmtId="0" fontId="6" fillId="13" borderId="0" xfId="0" applyFont="1" applyFill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0" fillId="2" borderId="0" xfId="0" applyFill="1"/>
    <xf numFmtId="0" fontId="7" fillId="2" borderId="0" xfId="0" applyFont="1" applyFill="1" applyAlignment="1">
      <alignment horizontal="right" vertical="center"/>
    </xf>
    <xf numFmtId="0" fontId="12" fillId="3" borderId="2" xfId="0" applyFont="1" applyFill="1" applyBorder="1" applyAlignment="1">
      <alignment horizontal="left" vertical="center"/>
    </xf>
    <xf numFmtId="166" fontId="12" fillId="3" borderId="2" xfId="0" applyNumberFormat="1" applyFont="1" applyFill="1" applyBorder="1" applyAlignment="1">
      <alignment horizontal="center" vertical="center"/>
    </xf>
    <xf numFmtId="0" fontId="6" fillId="16" borderId="0" xfId="0" applyFont="1" applyFill="1" applyAlignment="1">
      <alignment horizontal="left" vertical="center"/>
    </xf>
    <xf numFmtId="0" fontId="7" fillId="16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center"/>
    </xf>
    <xf numFmtId="166" fontId="12" fillId="5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/>
    </xf>
    <xf numFmtId="0" fontId="6" fillId="14" borderId="0" xfId="0" applyFont="1" applyFill="1" applyAlignment="1">
      <alignment horizontal="left" vertical="center"/>
    </xf>
    <xf numFmtId="0" fontId="7" fillId="1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left" vertical="center"/>
    </xf>
    <xf numFmtId="0" fontId="7" fillId="12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 wrapText="1"/>
    </xf>
    <xf numFmtId="0" fontId="6" fillId="12" borderId="0" xfId="0" applyFont="1" applyFill="1" applyAlignment="1">
      <alignment horizontal="left" vertical="center"/>
    </xf>
    <xf numFmtId="0" fontId="7" fillId="13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 wrapText="1"/>
    </xf>
    <xf numFmtId="0" fontId="6" fillId="10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7" fillId="6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5" fillId="18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sz val="9"/>
        <color rgb="FF14532D"/>
        <name val="Calibri"/>
        <charset val="1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1E40AF"/>
      <rgbColor rgb="FF808000"/>
      <rgbColor rgb="FF6D28D9"/>
      <rgbColor rgb="FF0F766E"/>
      <rgbColor rgb="FFC0C0C0"/>
      <rgbColor rgb="FF808080"/>
      <rgbColor rgb="FF9999FF"/>
      <rgbColor rgb="FF9D174D"/>
      <rgbColor rgb="FFFEF9C3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FF6FF"/>
      <rgbColor rgb="FFFEF2F2"/>
      <rgbColor rgb="FF93C5FD"/>
      <rgbColor rgb="FFFF99CC"/>
      <rgbColor rgb="FFCC99FF"/>
      <rgbColor rgb="FFF8FAFC"/>
      <rgbColor rgb="FF3B82F6"/>
      <rgbColor rgb="FF33CCCC"/>
      <rgbColor rgb="FF99CC00"/>
      <rgbColor rgb="FFFFCC00"/>
      <rgbColor rgb="FFFF9900"/>
      <rgbColor rgb="FFD97706"/>
      <rgbColor rgb="FF64748B"/>
      <rgbColor rgb="FF969696"/>
      <rgbColor rgb="FF003B8E"/>
      <rgbColor rgb="FF339966"/>
      <rgbColor rgb="FF14532D"/>
      <rgbColor rgb="FF374151"/>
      <rgbColor rgb="FF92400E"/>
      <rgbColor rgb="FFB91C1C"/>
      <rgbColor rgb="FF1E3A8A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Picture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4"/>
  <sheetViews>
    <sheetView tabSelected="1" zoomScaleNormal="100" workbookViewId="0">
      <selection activeCell="B5" sqref="B5:C5"/>
    </sheetView>
  </sheetViews>
  <sheetFormatPr defaultColWidth="8.6640625" defaultRowHeight="14.25" x14ac:dyDescent="0.45"/>
  <cols>
    <col min="1" max="1" width="9.265625" customWidth="1"/>
    <col min="2" max="2" width="22.6640625" bestFit="1" customWidth="1"/>
    <col min="3" max="3" width="28" customWidth="1"/>
    <col min="4" max="6" width="11" customWidth="1"/>
    <col min="7" max="7" width="12" customWidth="1"/>
    <col min="8" max="9" width="11" customWidth="1"/>
    <col min="10" max="10" width="12" customWidth="1"/>
    <col min="11" max="11" width="11" customWidth="1"/>
    <col min="12" max="12" width="13" customWidth="1"/>
    <col min="13" max="13" width="14" customWidth="1"/>
  </cols>
  <sheetData>
    <row r="1" spans="1:13" ht="48" customHeight="1" x14ac:dyDescent="0.45">
      <c r="A1" s="115" t="e" vm="1">
        <v>#VALUE!</v>
      </c>
      <c r="B1" s="111" t="s">
        <v>0</v>
      </c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x14ac:dyDescent="0.45">
      <c r="A2" s="6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</row>
    <row r="3" spans="1:13" x14ac:dyDescent="0.4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6.5" customHeight="1" x14ac:dyDescent="0.45">
      <c r="A4" s="8"/>
      <c r="B4" s="113" t="s">
        <v>1</v>
      </c>
      <c r="C4" s="113"/>
      <c r="D4" s="8"/>
      <c r="E4" s="113" t="s">
        <v>2</v>
      </c>
      <c r="F4" s="113"/>
      <c r="G4" s="8"/>
      <c r="H4" s="113" t="s">
        <v>3</v>
      </c>
      <c r="I4" s="113"/>
      <c r="J4" s="113" t="s">
        <v>4</v>
      </c>
      <c r="K4" s="113"/>
      <c r="L4" s="113" t="s">
        <v>5</v>
      </c>
      <c r="M4" s="113"/>
    </row>
    <row r="5" spans="1:13" ht="27.75" customHeight="1" x14ac:dyDescent="0.45">
      <c r="A5" s="9"/>
      <c r="B5" s="114"/>
      <c r="C5" s="114"/>
      <c r="D5" s="9"/>
      <c r="E5" s="114"/>
      <c r="F5" s="114"/>
      <c r="G5" s="9"/>
      <c r="H5" s="114"/>
      <c r="I5" s="114"/>
      <c r="J5" s="114"/>
      <c r="K5" s="114"/>
      <c r="L5" s="114"/>
      <c r="M5" s="114"/>
    </row>
    <row r="6" spans="1:13" x14ac:dyDescent="0.4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25.5" customHeight="1" x14ac:dyDescent="0.45">
      <c r="A7" s="10"/>
      <c r="B7" s="11" t="s">
        <v>6</v>
      </c>
      <c r="C7" s="106" t="s">
        <v>7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</row>
    <row r="8" spans="1:13" ht="27.75" customHeight="1" x14ac:dyDescent="0.45">
      <c r="A8" s="10"/>
      <c r="B8" s="10"/>
      <c r="C8" s="107" t="s">
        <v>8</v>
      </c>
      <c r="D8" s="107"/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  <c r="J8" s="5" t="s">
        <v>14</v>
      </c>
      <c r="K8" s="10"/>
      <c r="L8" s="10"/>
      <c r="M8" s="10"/>
    </row>
    <row r="9" spans="1:13" ht="24" customHeight="1" x14ac:dyDescent="0.45">
      <c r="A9" s="7"/>
      <c r="B9" s="7"/>
      <c r="C9" s="108" t="s">
        <v>15</v>
      </c>
      <c r="D9" s="108"/>
      <c r="E9" s="12"/>
      <c r="F9" s="12"/>
      <c r="G9" s="12"/>
      <c r="H9" s="12"/>
      <c r="I9" s="12"/>
      <c r="J9" s="13">
        <f>IFERROR(SUM(E9:I9),"")</f>
        <v>0</v>
      </c>
      <c r="K9" s="7"/>
      <c r="L9" s="7"/>
      <c r="M9" s="7"/>
    </row>
    <row r="10" spans="1:13" ht="24" customHeight="1" x14ac:dyDescent="0.45">
      <c r="A10" s="9"/>
      <c r="B10" s="9"/>
      <c r="C10" s="109" t="s">
        <v>16</v>
      </c>
      <c r="D10" s="109"/>
      <c r="E10" s="14"/>
      <c r="F10" s="14"/>
      <c r="G10" s="14"/>
      <c r="H10" s="14"/>
      <c r="I10" s="14"/>
      <c r="J10" s="13">
        <f>IFERROR(SUM(E10:I10),"")</f>
        <v>0</v>
      </c>
      <c r="K10" s="9"/>
      <c r="L10" s="9"/>
      <c r="M10" s="9"/>
    </row>
    <row r="11" spans="1:13" ht="24" customHeight="1" x14ac:dyDescent="0.45">
      <c r="A11" s="7"/>
      <c r="B11" s="7"/>
      <c r="C11" s="108" t="s">
        <v>17</v>
      </c>
      <c r="D11" s="108"/>
      <c r="E11" s="12"/>
      <c r="F11" s="12"/>
      <c r="G11" s="12"/>
      <c r="H11" s="12"/>
      <c r="I11" s="12"/>
      <c r="J11" s="13">
        <f>IFERROR(SUM(E11:I11),"")</f>
        <v>0</v>
      </c>
      <c r="K11" s="7"/>
      <c r="L11" s="7"/>
      <c r="M11" s="7"/>
    </row>
    <row r="12" spans="1:13" ht="24" customHeight="1" x14ac:dyDescent="0.45">
      <c r="A12" s="10"/>
      <c r="B12" s="10"/>
      <c r="C12" s="110" t="s">
        <v>14</v>
      </c>
      <c r="D12" s="110"/>
      <c r="E12" s="15">
        <f t="shared" ref="E12:J12" si="0">IFERROR(SUM(E9:E11),"")</f>
        <v>0</v>
      </c>
      <c r="F12" s="15">
        <f t="shared" si="0"/>
        <v>0</v>
      </c>
      <c r="G12" s="15">
        <f t="shared" si="0"/>
        <v>0</v>
      </c>
      <c r="H12" s="15">
        <f t="shared" si="0"/>
        <v>0</v>
      </c>
      <c r="I12" s="15">
        <f t="shared" si="0"/>
        <v>0</v>
      </c>
      <c r="J12" s="16">
        <f t="shared" si="0"/>
        <v>0</v>
      </c>
      <c r="K12" s="10"/>
      <c r="L12" s="10"/>
      <c r="M12" s="10"/>
    </row>
    <row r="13" spans="1:13" ht="7.5" customHeight="1" x14ac:dyDescent="0.4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25.5" customHeight="1" x14ac:dyDescent="0.45">
      <c r="A14" s="17"/>
      <c r="B14" s="18" t="s">
        <v>18</v>
      </c>
      <c r="C14" s="93" t="s">
        <v>19</v>
      </c>
      <c r="D14" s="93"/>
      <c r="E14" s="93"/>
      <c r="F14" s="93"/>
      <c r="G14" s="93"/>
      <c r="H14" s="93"/>
      <c r="I14" s="93"/>
      <c r="J14" s="93"/>
      <c r="K14" s="93"/>
      <c r="L14" s="93"/>
      <c r="M14" s="93"/>
    </row>
    <row r="15" spans="1:13" ht="27.75" customHeight="1" x14ac:dyDescent="0.45">
      <c r="A15" s="17"/>
      <c r="B15" s="17"/>
      <c r="C15" s="94" t="s">
        <v>20</v>
      </c>
      <c r="D15" s="94"/>
      <c r="E15" s="4" t="s">
        <v>21</v>
      </c>
      <c r="F15" s="4" t="s">
        <v>22</v>
      </c>
      <c r="G15" s="94" t="s">
        <v>23</v>
      </c>
      <c r="H15" s="94"/>
      <c r="I15" s="94"/>
      <c r="J15" s="94" t="s">
        <v>24</v>
      </c>
      <c r="K15" s="94"/>
      <c r="L15" s="94"/>
      <c r="M15" s="17"/>
    </row>
    <row r="16" spans="1:13" ht="19.5" customHeight="1" x14ac:dyDescent="0.45">
      <c r="A16" s="7"/>
      <c r="B16" s="7"/>
      <c r="C16" s="81" t="s">
        <v>25</v>
      </c>
      <c r="D16" s="81"/>
      <c r="E16" s="19"/>
      <c r="F16" s="20"/>
      <c r="G16" s="90"/>
      <c r="H16" s="90"/>
      <c r="I16" s="90"/>
      <c r="J16" s="90"/>
      <c r="K16" s="90"/>
      <c r="L16" s="90"/>
      <c r="M16" s="7"/>
    </row>
    <row r="17" spans="1:13" ht="19.5" customHeight="1" x14ac:dyDescent="0.45">
      <c r="A17" s="9"/>
      <c r="B17" s="9"/>
      <c r="C17" s="85" t="s">
        <v>26</v>
      </c>
      <c r="D17" s="85"/>
      <c r="E17" s="21"/>
      <c r="F17" s="22"/>
      <c r="G17" s="87"/>
      <c r="H17" s="87"/>
      <c r="I17" s="87"/>
      <c r="J17" s="87"/>
      <c r="K17" s="87"/>
      <c r="L17" s="87"/>
      <c r="M17" s="9"/>
    </row>
    <row r="18" spans="1:13" ht="19.5" customHeight="1" x14ac:dyDescent="0.45">
      <c r="A18" s="7"/>
      <c r="B18" s="7"/>
      <c r="C18" s="81" t="s">
        <v>27</v>
      </c>
      <c r="D18" s="81"/>
      <c r="E18" s="19"/>
      <c r="F18" s="20"/>
      <c r="G18" s="90"/>
      <c r="H18" s="90"/>
      <c r="I18" s="90"/>
      <c r="J18" s="90"/>
      <c r="K18" s="90"/>
      <c r="L18" s="90"/>
      <c r="M18" s="7"/>
    </row>
    <row r="19" spans="1:13" ht="19.5" customHeight="1" x14ac:dyDescent="0.45">
      <c r="A19" s="9"/>
      <c r="B19" s="9"/>
      <c r="C19" s="85" t="s">
        <v>28</v>
      </c>
      <c r="D19" s="85"/>
      <c r="E19" s="21"/>
      <c r="F19" s="22"/>
      <c r="G19" s="87"/>
      <c r="H19" s="87"/>
      <c r="I19" s="87"/>
      <c r="J19" s="87"/>
      <c r="K19" s="87"/>
      <c r="L19" s="87"/>
      <c r="M19" s="9"/>
    </row>
    <row r="20" spans="1:13" ht="19.5" customHeight="1" x14ac:dyDescent="0.45">
      <c r="A20" s="7"/>
      <c r="B20" s="7"/>
      <c r="C20" s="81" t="s">
        <v>29</v>
      </c>
      <c r="D20" s="81"/>
      <c r="E20" s="19"/>
      <c r="F20" s="20"/>
      <c r="G20" s="90"/>
      <c r="H20" s="90"/>
      <c r="I20" s="90"/>
      <c r="J20" s="90"/>
      <c r="K20" s="90"/>
      <c r="L20" s="90"/>
      <c r="M20" s="7"/>
    </row>
    <row r="21" spans="1:13" ht="19.5" customHeight="1" x14ac:dyDescent="0.45">
      <c r="A21" s="9"/>
      <c r="B21" s="9"/>
      <c r="C21" s="85" t="s">
        <v>30</v>
      </c>
      <c r="D21" s="85"/>
      <c r="E21" s="21"/>
      <c r="F21" s="22"/>
      <c r="G21" s="87"/>
      <c r="H21" s="87"/>
      <c r="I21" s="87"/>
      <c r="J21" s="87"/>
      <c r="K21" s="87"/>
      <c r="L21" s="87"/>
      <c r="M21" s="9"/>
    </row>
    <row r="22" spans="1:13" ht="19.5" customHeight="1" x14ac:dyDescent="0.45">
      <c r="A22" s="7"/>
      <c r="B22" s="7"/>
      <c r="C22" s="81" t="s">
        <v>31</v>
      </c>
      <c r="D22" s="81"/>
      <c r="E22" s="19"/>
      <c r="F22" s="20"/>
      <c r="G22" s="90"/>
      <c r="H22" s="90"/>
      <c r="I22" s="90"/>
      <c r="J22" s="90"/>
      <c r="K22" s="90"/>
      <c r="L22" s="90"/>
      <c r="M22" s="7"/>
    </row>
    <row r="23" spans="1:13" ht="19.5" customHeight="1" x14ac:dyDescent="0.45">
      <c r="A23" s="9"/>
      <c r="B23" s="9"/>
      <c r="C23" s="85" t="s">
        <v>32</v>
      </c>
      <c r="D23" s="85"/>
      <c r="E23" s="21"/>
      <c r="F23" s="22"/>
      <c r="G23" s="87"/>
      <c r="H23" s="87"/>
      <c r="I23" s="87"/>
      <c r="J23" s="87"/>
      <c r="K23" s="87"/>
      <c r="L23" s="87"/>
      <c r="M23" s="9"/>
    </row>
    <row r="24" spans="1:13" ht="7.5" customHeight="1" x14ac:dyDescent="0.4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spans="1:13" ht="25.5" customHeight="1" x14ac:dyDescent="0.45">
      <c r="A25" s="24"/>
      <c r="B25" s="25" t="s">
        <v>33</v>
      </c>
      <c r="C25" s="105" t="s">
        <v>34</v>
      </c>
      <c r="D25" s="105"/>
      <c r="E25" s="105"/>
      <c r="F25" s="105"/>
      <c r="G25" s="105"/>
      <c r="H25" s="105"/>
      <c r="I25" s="105"/>
      <c r="J25" s="105"/>
      <c r="K25" s="105"/>
      <c r="L25" s="105"/>
      <c r="M25" s="105"/>
    </row>
    <row r="26" spans="1:13" ht="16.899999999999999" x14ac:dyDescent="0.45">
      <c r="A26" s="7"/>
      <c r="B26" s="26">
        <v>1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</row>
    <row r="27" spans="1:13" ht="16.899999999999999" x14ac:dyDescent="0.45">
      <c r="A27" s="9"/>
      <c r="B27" s="27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</row>
    <row r="28" spans="1:13" ht="16.899999999999999" x14ac:dyDescent="0.45">
      <c r="A28" s="7"/>
      <c r="B28" s="26">
        <v>3</v>
      </c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</row>
    <row r="29" spans="1:13" ht="16.899999999999999" x14ac:dyDescent="0.45">
      <c r="A29" s="9"/>
      <c r="B29" s="27">
        <v>4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</row>
    <row r="30" spans="1:13" ht="16.899999999999999" x14ac:dyDescent="0.45">
      <c r="A30" s="7"/>
      <c r="B30" s="26">
        <v>5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</row>
    <row r="31" spans="1:13" ht="16.899999999999999" x14ac:dyDescent="0.45">
      <c r="A31" s="9"/>
      <c r="B31" s="27">
        <v>6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</row>
    <row r="32" spans="1:13" ht="16.899999999999999" x14ac:dyDescent="0.45">
      <c r="A32" s="7"/>
      <c r="B32" s="26">
        <v>7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</row>
    <row r="33" spans="1:13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1:13" ht="16.899999999999999" x14ac:dyDescent="0.45">
      <c r="A34" s="28"/>
      <c r="B34" s="29" t="s">
        <v>35</v>
      </c>
      <c r="C34" s="104" t="s">
        <v>36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</row>
    <row r="35" spans="1:13" ht="16.899999999999999" x14ac:dyDescent="0.45">
      <c r="A35" s="30"/>
      <c r="B35" s="31">
        <v>1</v>
      </c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</row>
    <row r="36" spans="1:13" ht="16.899999999999999" x14ac:dyDescent="0.45">
      <c r="A36" s="30"/>
      <c r="B36" s="31">
        <v>2</v>
      </c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</row>
    <row r="37" spans="1:13" ht="16.899999999999999" x14ac:dyDescent="0.45">
      <c r="A37" s="30"/>
      <c r="B37" s="31">
        <v>3</v>
      </c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</row>
    <row r="38" spans="1:13" ht="16.899999999999999" x14ac:dyDescent="0.45">
      <c r="A38" s="30"/>
      <c r="B38" s="31">
        <v>4</v>
      </c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</row>
    <row r="39" spans="1:13" ht="16.899999999999999" x14ac:dyDescent="0.45">
      <c r="A39" s="30"/>
      <c r="B39" s="31">
        <v>5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</row>
    <row r="40" spans="1:13" ht="16.899999999999999" x14ac:dyDescent="0.45">
      <c r="A40" s="30"/>
      <c r="B40" s="31">
        <v>6</v>
      </c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</row>
    <row r="41" spans="1:13" ht="16.899999999999999" x14ac:dyDescent="0.45">
      <c r="A41" s="30"/>
      <c r="B41" s="31">
        <v>7</v>
      </c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</row>
    <row r="42" spans="1:13" x14ac:dyDescent="0.4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 spans="1:13" ht="25.5" customHeight="1" x14ac:dyDescent="0.45">
      <c r="A43" s="32"/>
      <c r="B43" s="33" t="s">
        <v>37</v>
      </c>
      <c r="C43" s="100" t="s">
        <v>38</v>
      </c>
      <c r="D43" s="100"/>
      <c r="E43" s="100"/>
      <c r="F43" s="100"/>
      <c r="G43" s="100"/>
      <c r="H43" s="100"/>
      <c r="I43" s="100"/>
      <c r="J43" s="100"/>
      <c r="K43" s="100"/>
      <c r="L43" s="100"/>
      <c r="M43" s="100"/>
    </row>
    <row r="44" spans="1:13" ht="30" customHeight="1" x14ac:dyDescent="0.45">
      <c r="A44" s="34"/>
      <c r="B44" s="34"/>
      <c r="C44" s="35" t="s">
        <v>39</v>
      </c>
      <c r="D44" s="35" t="s">
        <v>40</v>
      </c>
      <c r="E44" s="35" t="s">
        <v>41</v>
      </c>
      <c r="F44" s="35" t="s">
        <v>42</v>
      </c>
      <c r="G44" s="35" t="s">
        <v>43</v>
      </c>
      <c r="H44" s="35" t="s">
        <v>44</v>
      </c>
      <c r="I44" s="35" t="s">
        <v>45</v>
      </c>
      <c r="J44" s="35" t="s">
        <v>22</v>
      </c>
      <c r="K44" s="101" t="s">
        <v>24</v>
      </c>
      <c r="L44" s="101"/>
      <c r="M44" s="34"/>
    </row>
    <row r="45" spans="1:13" ht="18.75" customHeight="1" x14ac:dyDescent="0.45">
      <c r="A45" s="10"/>
      <c r="B45" s="10"/>
      <c r="C45" s="102" t="s">
        <v>46</v>
      </c>
      <c r="D45" s="102"/>
      <c r="E45" s="102"/>
      <c r="F45" s="102"/>
      <c r="G45" s="102"/>
      <c r="H45" s="102"/>
      <c r="I45" s="102"/>
      <c r="J45" s="102"/>
      <c r="K45" s="102"/>
      <c r="L45" s="102"/>
      <c r="M45" s="102"/>
    </row>
    <row r="46" spans="1:13" ht="21" customHeight="1" x14ac:dyDescent="0.45">
      <c r="A46" s="7"/>
      <c r="B46" s="36" t="s">
        <v>47</v>
      </c>
      <c r="C46" s="3" t="s">
        <v>48</v>
      </c>
      <c r="D46" s="37" t="s">
        <v>49</v>
      </c>
      <c r="E46" s="38">
        <v>100</v>
      </c>
      <c r="F46" s="39"/>
      <c r="G46" s="40"/>
      <c r="H46" s="39">
        <f>IFERROR(F46+G46,"")</f>
        <v>0</v>
      </c>
      <c r="I46" s="41">
        <f>IFERROR(H46/E46,"")</f>
        <v>0</v>
      </c>
      <c r="J46" s="20"/>
      <c r="K46" s="90"/>
      <c r="L46" s="90"/>
      <c r="M46" s="7"/>
    </row>
    <row r="47" spans="1:13" ht="21" customHeight="1" x14ac:dyDescent="0.45">
      <c r="A47" s="9"/>
      <c r="B47" s="42" t="s">
        <v>50</v>
      </c>
      <c r="C47" s="1" t="s">
        <v>51</v>
      </c>
      <c r="D47" s="43" t="s">
        <v>49</v>
      </c>
      <c r="E47" s="44">
        <v>100</v>
      </c>
      <c r="F47" s="45"/>
      <c r="G47" s="40"/>
      <c r="H47" s="45">
        <f>IFERROR(F47+G47,"")</f>
        <v>0</v>
      </c>
      <c r="I47" s="46">
        <f>IFERROR(H47/E47,"")</f>
        <v>0</v>
      </c>
      <c r="J47" s="22"/>
      <c r="K47" s="87"/>
      <c r="L47" s="87"/>
      <c r="M47" s="9"/>
    </row>
    <row r="48" spans="1:13" ht="21" customHeight="1" x14ac:dyDescent="0.45">
      <c r="A48" s="7"/>
      <c r="B48" s="36" t="s">
        <v>52</v>
      </c>
      <c r="C48" s="3" t="s">
        <v>53</v>
      </c>
      <c r="D48" s="37" t="s">
        <v>54</v>
      </c>
      <c r="E48" s="38">
        <v>2500</v>
      </c>
      <c r="F48" s="39"/>
      <c r="G48" s="40"/>
      <c r="H48" s="39">
        <f>IFERROR(F48+G48,"")</f>
        <v>0</v>
      </c>
      <c r="I48" s="41">
        <f>IFERROR(H48/E48,"")</f>
        <v>0</v>
      </c>
      <c r="J48" s="20"/>
      <c r="K48" s="90"/>
      <c r="L48" s="90"/>
      <c r="M48" s="7"/>
    </row>
    <row r="49" spans="1:13" ht="21" customHeight="1" x14ac:dyDescent="0.45">
      <c r="A49" s="9"/>
      <c r="B49" s="42" t="s">
        <v>55</v>
      </c>
      <c r="C49" s="1" t="s">
        <v>56</v>
      </c>
      <c r="D49" s="43" t="s">
        <v>54</v>
      </c>
      <c r="E49" s="44">
        <v>1200</v>
      </c>
      <c r="F49" s="45"/>
      <c r="G49" s="40"/>
      <c r="H49" s="45">
        <f>IFERROR(F49+G49,"")</f>
        <v>0</v>
      </c>
      <c r="I49" s="46">
        <f>IFERROR(H49/E49,"")</f>
        <v>0</v>
      </c>
      <c r="J49" s="22"/>
      <c r="K49" s="87"/>
      <c r="L49" s="87"/>
      <c r="M49" s="9"/>
    </row>
    <row r="50" spans="1:13" ht="18.75" customHeight="1" x14ac:dyDescent="0.45">
      <c r="A50" s="24"/>
      <c r="B50" s="24"/>
      <c r="C50" s="98" t="s">
        <v>57</v>
      </c>
      <c r="D50" s="98"/>
      <c r="E50" s="98"/>
      <c r="F50" s="98"/>
      <c r="G50" s="98"/>
      <c r="H50" s="98"/>
      <c r="I50" s="98"/>
      <c r="J50" s="98"/>
      <c r="K50" s="98"/>
      <c r="L50" s="98"/>
      <c r="M50" s="98"/>
    </row>
    <row r="51" spans="1:13" ht="21" customHeight="1" x14ac:dyDescent="0.45">
      <c r="A51" s="7"/>
      <c r="B51" s="47" t="s">
        <v>58</v>
      </c>
      <c r="C51" s="3" t="s">
        <v>59</v>
      </c>
      <c r="D51" s="37" t="s">
        <v>60</v>
      </c>
      <c r="E51" s="38">
        <v>3200</v>
      </c>
      <c r="F51" s="39"/>
      <c r="G51" s="40"/>
      <c r="H51" s="39">
        <f t="shared" ref="H51:H57" si="1">IFERROR(F51+G51,"")</f>
        <v>0</v>
      </c>
      <c r="I51" s="41">
        <f t="shared" ref="I51:I57" si="2">IFERROR(H51/E51,"")</f>
        <v>0</v>
      </c>
      <c r="J51" s="20"/>
      <c r="K51" s="90"/>
      <c r="L51" s="90"/>
      <c r="M51" s="7"/>
    </row>
    <row r="52" spans="1:13" ht="21" customHeight="1" x14ac:dyDescent="0.45">
      <c r="A52" s="9"/>
      <c r="B52" s="48" t="s">
        <v>61</v>
      </c>
      <c r="C52" s="1" t="s">
        <v>62</v>
      </c>
      <c r="D52" s="43" t="s">
        <v>60</v>
      </c>
      <c r="E52" s="44">
        <v>3200</v>
      </c>
      <c r="F52" s="45"/>
      <c r="G52" s="40"/>
      <c r="H52" s="45">
        <f t="shared" si="1"/>
        <v>0</v>
      </c>
      <c r="I52" s="46">
        <f t="shared" si="2"/>
        <v>0</v>
      </c>
      <c r="J52" s="22"/>
      <c r="K52" s="87"/>
      <c r="L52" s="87"/>
      <c r="M52" s="9"/>
    </row>
    <row r="53" spans="1:13" ht="21" customHeight="1" x14ac:dyDescent="0.45">
      <c r="A53" s="7"/>
      <c r="B53" s="47" t="s">
        <v>63</v>
      </c>
      <c r="C53" s="3" t="s">
        <v>64</v>
      </c>
      <c r="D53" s="37" t="s">
        <v>60</v>
      </c>
      <c r="E53" s="38">
        <v>3200</v>
      </c>
      <c r="F53" s="39"/>
      <c r="G53" s="40"/>
      <c r="H53" s="39">
        <f t="shared" si="1"/>
        <v>0</v>
      </c>
      <c r="I53" s="41">
        <f t="shared" si="2"/>
        <v>0</v>
      </c>
      <c r="J53" s="20"/>
      <c r="K53" s="90"/>
      <c r="L53" s="90"/>
      <c r="M53" s="7"/>
    </row>
    <row r="54" spans="1:13" ht="21" customHeight="1" x14ac:dyDescent="0.45">
      <c r="A54" s="9"/>
      <c r="B54" s="48" t="s">
        <v>65</v>
      </c>
      <c r="C54" s="1" t="s">
        <v>66</v>
      </c>
      <c r="D54" s="43" t="s">
        <v>60</v>
      </c>
      <c r="E54" s="44">
        <v>2352</v>
      </c>
      <c r="F54" s="45"/>
      <c r="G54" s="40"/>
      <c r="H54" s="45">
        <f t="shared" si="1"/>
        <v>0</v>
      </c>
      <c r="I54" s="46">
        <f t="shared" si="2"/>
        <v>0</v>
      </c>
      <c r="J54" s="22"/>
      <c r="K54" s="87"/>
      <c r="L54" s="87"/>
      <c r="M54" s="9"/>
    </row>
    <row r="55" spans="1:13" ht="21" customHeight="1" x14ac:dyDescent="0.45">
      <c r="A55" s="7"/>
      <c r="B55" s="47" t="s">
        <v>67</v>
      </c>
      <c r="C55" s="3" t="s">
        <v>68</v>
      </c>
      <c r="D55" s="37" t="s">
        <v>60</v>
      </c>
      <c r="E55" s="38">
        <v>3136</v>
      </c>
      <c r="F55" s="39"/>
      <c r="G55" s="40"/>
      <c r="H55" s="39">
        <f t="shared" si="1"/>
        <v>0</v>
      </c>
      <c r="I55" s="41">
        <f t="shared" si="2"/>
        <v>0</v>
      </c>
      <c r="J55" s="20"/>
      <c r="K55" s="90"/>
      <c r="L55" s="90"/>
      <c r="M55" s="7"/>
    </row>
    <row r="56" spans="1:13" ht="21" customHeight="1" x14ac:dyDescent="0.45">
      <c r="A56" s="9"/>
      <c r="B56" s="48" t="s">
        <v>69</v>
      </c>
      <c r="C56" s="1" t="s">
        <v>70</v>
      </c>
      <c r="D56" s="43" t="s">
        <v>60</v>
      </c>
      <c r="E56" s="44">
        <v>10192</v>
      </c>
      <c r="F56" s="45"/>
      <c r="G56" s="40"/>
      <c r="H56" s="45">
        <f t="shared" si="1"/>
        <v>0</v>
      </c>
      <c r="I56" s="46">
        <f t="shared" si="2"/>
        <v>0</v>
      </c>
      <c r="J56" s="22"/>
      <c r="K56" s="87"/>
      <c r="L56" s="87"/>
      <c r="M56" s="9"/>
    </row>
    <row r="57" spans="1:13" ht="21" customHeight="1" x14ac:dyDescent="0.45">
      <c r="A57" s="7"/>
      <c r="B57" s="47" t="s">
        <v>71</v>
      </c>
      <c r="C57" s="3" t="s">
        <v>72</v>
      </c>
      <c r="D57" s="37" t="s">
        <v>60</v>
      </c>
      <c r="E57" s="38">
        <v>24</v>
      </c>
      <c r="F57" s="39"/>
      <c r="G57" s="40"/>
      <c r="H57" s="39">
        <f t="shared" si="1"/>
        <v>0</v>
      </c>
      <c r="I57" s="41">
        <f t="shared" si="2"/>
        <v>0</v>
      </c>
      <c r="J57" s="20"/>
      <c r="K57" s="90"/>
      <c r="L57" s="90"/>
      <c r="M57" s="7"/>
    </row>
    <row r="58" spans="1:13" ht="18.75" customHeight="1" x14ac:dyDescent="0.45">
      <c r="A58" s="17"/>
      <c r="B58" s="17"/>
      <c r="C58" s="96" t="s">
        <v>73</v>
      </c>
      <c r="D58" s="96"/>
      <c r="E58" s="96"/>
      <c r="F58" s="96"/>
      <c r="G58" s="96"/>
      <c r="H58" s="96"/>
      <c r="I58" s="96"/>
      <c r="J58" s="96"/>
      <c r="K58" s="96"/>
      <c r="L58" s="96"/>
      <c r="M58" s="96"/>
    </row>
    <row r="59" spans="1:13" ht="21" customHeight="1" x14ac:dyDescent="0.45">
      <c r="A59" s="9"/>
      <c r="B59" s="49" t="s">
        <v>74</v>
      </c>
      <c r="C59" s="1" t="s">
        <v>75</v>
      </c>
      <c r="D59" s="43" t="s">
        <v>54</v>
      </c>
      <c r="E59" s="44">
        <v>15000</v>
      </c>
      <c r="F59" s="45"/>
      <c r="G59" s="40"/>
      <c r="H59" s="45">
        <f>IFERROR(F59+G59,"")</f>
        <v>0</v>
      </c>
      <c r="I59" s="46">
        <f>IFERROR(H59/E59,"")</f>
        <v>0</v>
      </c>
      <c r="J59" s="22"/>
      <c r="K59" s="87"/>
      <c r="L59" s="87"/>
      <c r="M59" s="9"/>
    </row>
    <row r="60" spans="1:13" ht="21" customHeight="1" x14ac:dyDescent="0.45">
      <c r="A60" s="7"/>
      <c r="B60" s="50" t="s">
        <v>76</v>
      </c>
      <c r="C60" s="3" t="s">
        <v>77</v>
      </c>
      <c r="D60" s="37" t="s">
        <v>54</v>
      </c>
      <c r="E60" s="38">
        <v>15000</v>
      </c>
      <c r="F60" s="39"/>
      <c r="G60" s="40"/>
      <c r="H60" s="39">
        <f>IFERROR(F60+G60,"")</f>
        <v>0</v>
      </c>
      <c r="I60" s="41">
        <f>IFERROR(H60/E60,"")</f>
        <v>0</v>
      </c>
      <c r="J60" s="20"/>
      <c r="K60" s="90"/>
      <c r="L60" s="90"/>
      <c r="M60" s="7"/>
    </row>
    <row r="61" spans="1:13" ht="21" customHeight="1" x14ac:dyDescent="0.45">
      <c r="A61" s="9"/>
      <c r="B61" s="49" t="s">
        <v>78</v>
      </c>
      <c r="C61" s="1" t="s">
        <v>79</v>
      </c>
      <c r="D61" s="43" t="s">
        <v>60</v>
      </c>
      <c r="E61" s="44">
        <v>640</v>
      </c>
      <c r="F61" s="45"/>
      <c r="G61" s="40"/>
      <c r="H61" s="45">
        <f>IFERROR(F61+G61,"")</f>
        <v>0</v>
      </c>
      <c r="I61" s="46">
        <f>IFERROR(H61/E61,"")</f>
        <v>0</v>
      </c>
      <c r="J61" s="22"/>
      <c r="K61" s="87"/>
      <c r="L61" s="87"/>
      <c r="M61" s="9"/>
    </row>
    <row r="62" spans="1:13" ht="21" customHeight="1" x14ac:dyDescent="0.45">
      <c r="A62" s="7"/>
      <c r="B62" s="50" t="s">
        <v>80</v>
      </c>
      <c r="C62" s="3" t="s">
        <v>81</v>
      </c>
      <c r="D62" s="37" t="s">
        <v>60</v>
      </c>
      <c r="E62" s="38">
        <v>80</v>
      </c>
      <c r="F62" s="39"/>
      <c r="G62" s="40"/>
      <c r="H62" s="39">
        <f>IFERROR(F62+G62,"")</f>
        <v>0</v>
      </c>
      <c r="I62" s="41">
        <f>IFERROR(H62/E62,"")</f>
        <v>0</v>
      </c>
      <c r="J62" s="20"/>
      <c r="K62" s="90"/>
      <c r="L62" s="90"/>
      <c r="M62" s="7"/>
    </row>
    <row r="63" spans="1:13" ht="18.75" customHeight="1" x14ac:dyDescent="0.45">
      <c r="A63" s="32"/>
      <c r="B63" s="32"/>
      <c r="C63" s="97" t="s">
        <v>82</v>
      </c>
      <c r="D63" s="97"/>
      <c r="E63" s="97"/>
      <c r="F63" s="97"/>
      <c r="G63" s="97"/>
      <c r="H63" s="97"/>
      <c r="I63" s="97"/>
      <c r="J63" s="97"/>
      <c r="K63" s="97"/>
      <c r="L63" s="97"/>
      <c r="M63" s="97"/>
    </row>
    <row r="64" spans="1:13" ht="21" customHeight="1" x14ac:dyDescent="0.45">
      <c r="A64" s="9"/>
      <c r="B64" s="51" t="s">
        <v>83</v>
      </c>
      <c r="C64" s="1" t="s">
        <v>84</v>
      </c>
      <c r="D64" s="43" t="s">
        <v>54</v>
      </c>
      <c r="E64" s="44">
        <v>15000</v>
      </c>
      <c r="F64" s="45"/>
      <c r="G64" s="40"/>
      <c r="H64" s="45">
        <f t="shared" ref="H64:H69" si="3">IFERROR(F64+G64,"")</f>
        <v>0</v>
      </c>
      <c r="I64" s="46">
        <f t="shared" ref="I64:I69" si="4">IFERROR(H64/E64,"")</f>
        <v>0</v>
      </c>
      <c r="J64" s="22"/>
      <c r="K64" s="87"/>
      <c r="L64" s="87"/>
      <c r="M64" s="9"/>
    </row>
    <row r="65" spans="1:13" ht="21" customHeight="1" x14ac:dyDescent="0.45">
      <c r="A65" s="7"/>
      <c r="B65" s="52" t="s">
        <v>85</v>
      </c>
      <c r="C65" s="3" t="s">
        <v>86</v>
      </c>
      <c r="D65" s="37" t="s">
        <v>60</v>
      </c>
      <c r="E65" s="38">
        <v>24</v>
      </c>
      <c r="F65" s="39"/>
      <c r="G65" s="40"/>
      <c r="H65" s="39">
        <f t="shared" si="3"/>
        <v>0</v>
      </c>
      <c r="I65" s="41">
        <f t="shared" si="4"/>
        <v>0</v>
      </c>
      <c r="J65" s="20"/>
      <c r="K65" s="90"/>
      <c r="L65" s="90"/>
      <c r="M65" s="7"/>
    </row>
    <row r="66" spans="1:13" ht="21" customHeight="1" x14ac:dyDescent="0.45">
      <c r="A66" s="9"/>
      <c r="B66" s="51" t="s">
        <v>87</v>
      </c>
      <c r="C66" s="1" t="s">
        <v>88</v>
      </c>
      <c r="D66" s="43" t="s">
        <v>54</v>
      </c>
      <c r="E66" s="44">
        <v>3500</v>
      </c>
      <c r="F66" s="45"/>
      <c r="G66" s="40"/>
      <c r="H66" s="45">
        <f t="shared" si="3"/>
        <v>0</v>
      </c>
      <c r="I66" s="46">
        <f t="shared" si="4"/>
        <v>0</v>
      </c>
      <c r="J66" s="22"/>
      <c r="K66" s="87"/>
      <c r="L66" s="87"/>
      <c r="M66" s="9"/>
    </row>
    <row r="67" spans="1:13" ht="21" customHeight="1" x14ac:dyDescent="0.45">
      <c r="A67" s="7"/>
      <c r="B67" s="52" t="s">
        <v>89</v>
      </c>
      <c r="C67" s="3" t="s">
        <v>90</v>
      </c>
      <c r="D67" s="37" t="s">
        <v>54</v>
      </c>
      <c r="E67" s="38">
        <v>2800</v>
      </c>
      <c r="F67" s="39"/>
      <c r="G67" s="40"/>
      <c r="H67" s="39">
        <f t="shared" si="3"/>
        <v>0</v>
      </c>
      <c r="I67" s="41">
        <f t="shared" si="4"/>
        <v>0</v>
      </c>
      <c r="J67" s="20"/>
      <c r="K67" s="90"/>
      <c r="L67" s="90"/>
      <c r="M67" s="7"/>
    </row>
    <row r="68" spans="1:13" ht="21" customHeight="1" x14ac:dyDescent="0.45">
      <c r="A68" s="9"/>
      <c r="B68" s="51" t="s">
        <v>91</v>
      </c>
      <c r="C68" s="1" t="s">
        <v>92</v>
      </c>
      <c r="D68" s="43" t="s">
        <v>60</v>
      </c>
      <c r="E68" s="44">
        <v>12</v>
      </c>
      <c r="F68" s="45"/>
      <c r="G68" s="40"/>
      <c r="H68" s="45">
        <f t="shared" si="3"/>
        <v>0</v>
      </c>
      <c r="I68" s="46">
        <f t="shared" si="4"/>
        <v>0</v>
      </c>
      <c r="J68" s="22"/>
      <c r="K68" s="87"/>
      <c r="L68" s="87"/>
      <c r="M68" s="9"/>
    </row>
    <row r="69" spans="1:13" ht="21" customHeight="1" x14ac:dyDescent="0.45">
      <c r="A69" s="7"/>
      <c r="B69" s="52" t="s">
        <v>93</v>
      </c>
      <c r="C69" s="3" t="s">
        <v>94</v>
      </c>
      <c r="D69" s="37" t="s">
        <v>60</v>
      </c>
      <c r="E69" s="38">
        <v>4</v>
      </c>
      <c r="F69" s="39"/>
      <c r="G69" s="40"/>
      <c r="H69" s="39">
        <f t="shared" si="3"/>
        <v>0</v>
      </c>
      <c r="I69" s="41">
        <f t="shared" si="4"/>
        <v>0</v>
      </c>
      <c r="J69" s="20"/>
      <c r="K69" s="90"/>
      <c r="L69" s="90"/>
      <c r="M69" s="7"/>
    </row>
    <row r="70" spans="1:13" ht="18.75" customHeight="1" x14ac:dyDescent="0.45">
      <c r="A70" s="53"/>
      <c r="B70" s="53"/>
      <c r="C70" s="95" t="s">
        <v>95</v>
      </c>
      <c r="D70" s="95"/>
      <c r="E70" s="95"/>
      <c r="F70" s="95"/>
      <c r="G70" s="95"/>
      <c r="H70" s="95"/>
      <c r="I70" s="95"/>
      <c r="J70" s="95"/>
      <c r="K70" s="95"/>
      <c r="L70" s="95"/>
      <c r="M70" s="95"/>
    </row>
    <row r="71" spans="1:13" ht="21" customHeight="1" x14ac:dyDescent="0.45">
      <c r="A71" s="9"/>
      <c r="B71" s="54" t="s">
        <v>96</v>
      </c>
      <c r="C71" s="1" t="s">
        <v>97</v>
      </c>
      <c r="D71" s="43" t="s">
        <v>54</v>
      </c>
      <c r="E71" s="44">
        <v>3200</v>
      </c>
      <c r="F71" s="45"/>
      <c r="G71" s="40"/>
      <c r="H71" s="45">
        <f>IFERROR(F71+G71,"")</f>
        <v>0</v>
      </c>
      <c r="I71" s="46">
        <f>IFERROR(H71/E71,"")</f>
        <v>0</v>
      </c>
      <c r="J71" s="22"/>
      <c r="K71" s="87"/>
      <c r="L71" s="87"/>
      <c r="M71" s="9"/>
    </row>
    <row r="72" spans="1:13" ht="21" customHeight="1" x14ac:dyDescent="0.45">
      <c r="A72" s="7"/>
      <c r="B72" s="55" t="s">
        <v>98</v>
      </c>
      <c r="C72" s="3" t="s">
        <v>99</v>
      </c>
      <c r="D72" s="37" t="s">
        <v>54</v>
      </c>
      <c r="E72" s="38">
        <v>3200</v>
      </c>
      <c r="F72" s="39"/>
      <c r="G72" s="40"/>
      <c r="H72" s="39">
        <f>IFERROR(F72+G72,"")</f>
        <v>0</v>
      </c>
      <c r="I72" s="41">
        <f>IFERROR(H72/E72,"")</f>
        <v>0</v>
      </c>
      <c r="J72" s="20"/>
      <c r="K72" s="90"/>
      <c r="L72" s="90"/>
      <c r="M72" s="7"/>
    </row>
    <row r="73" spans="1:13" ht="21" customHeight="1" x14ac:dyDescent="0.45">
      <c r="A73" s="9"/>
      <c r="B73" s="54" t="s">
        <v>100</v>
      </c>
      <c r="C73" s="1" t="s">
        <v>101</v>
      </c>
      <c r="D73" s="43" t="s">
        <v>60</v>
      </c>
      <c r="E73" s="44">
        <v>320</v>
      </c>
      <c r="F73" s="45"/>
      <c r="G73" s="40"/>
      <c r="H73" s="45">
        <f>IFERROR(F73+G73,"")</f>
        <v>0</v>
      </c>
      <c r="I73" s="46">
        <f>IFERROR(H73/E73,"")</f>
        <v>0</v>
      </c>
      <c r="J73" s="22"/>
      <c r="K73" s="87"/>
      <c r="L73" s="87"/>
      <c r="M73" s="9"/>
    </row>
    <row r="74" spans="1:13" ht="21" customHeight="1" x14ac:dyDescent="0.45">
      <c r="A74" s="7"/>
      <c r="B74" s="55" t="s">
        <v>102</v>
      </c>
      <c r="C74" s="3" t="s">
        <v>103</v>
      </c>
      <c r="D74" s="37" t="s">
        <v>60</v>
      </c>
      <c r="E74" s="38">
        <v>8</v>
      </c>
      <c r="F74" s="39"/>
      <c r="G74" s="40"/>
      <c r="H74" s="39">
        <f>IFERROR(F74+G74,"")</f>
        <v>0</v>
      </c>
      <c r="I74" s="41">
        <f>IFERROR(H74/E74,"")</f>
        <v>0</v>
      </c>
      <c r="J74" s="20"/>
      <c r="K74" s="90"/>
      <c r="L74" s="90"/>
      <c r="M74" s="7"/>
    </row>
    <row r="75" spans="1:13" ht="18.75" customHeight="1" x14ac:dyDescent="0.45">
      <c r="A75" s="56"/>
      <c r="B75" s="56"/>
      <c r="C75" s="91" t="s">
        <v>104</v>
      </c>
      <c r="D75" s="91"/>
      <c r="E75" s="91"/>
      <c r="F75" s="91"/>
      <c r="G75" s="91"/>
      <c r="H75" s="91"/>
      <c r="I75" s="91"/>
      <c r="J75" s="91"/>
      <c r="K75" s="91"/>
      <c r="L75" s="91"/>
      <c r="M75" s="91"/>
    </row>
    <row r="76" spans="1:13" ht="21" customHeight="1" x14ac:dyDescent="0.45">
      <c r="A76" s="9"/>
      <c r="B76" s="57" t="s">
        <v>105</v>
      </c>
      <c r="C76" s="1" t="s">
        <v>106</v>
      </c>
      <c r="D76" s="43" t="s">
        <v>49</v>
      </c>
      <c r="E76" s="44">
        <v>100</v>
      </c>
      <c r="F76" s="45"/>
      <c r="G76" s="40"/>
      <c r="H76" s="45">
        <f>IFERROR(F76+G76,"")</f>
        <v>0</v>
      </c>
      <c r="I76" s="46">
        <f>IFERROR(H76/E76,"")</f>
        <v>0</v>
      </c>
      <c r="J76" s="22"/>
      <c r="K76" s="87"/>
      <c r="L76" s="87"/>
      <c r="M76" s="9"/>
    </row>
    <row r="77" spans="1:13" ht="21" customHeight="1" x14ac:dyDescent="0.45">
      <c r="A77" s="7"/>
      <c r="B77" s="58" t="s">
        <v>107</v>
      </c>
      <c r="C77" s="3" t="s">
        <v>108</v>
      </c>
      <c r="D77" s="37" t="s">
        <v>49</v>
      </c>
      <c r="E77" s="38">
        <v>100</v>
      </c>
      <c r="F77" s="39"/>
      <c r="G77" s="40"/>
      <c r="H77" s="39">
        <f>IFERROR(F77+G77,"")</f>
        <v>0</v>
      </c>
      <c r="I77" s="41">
        <f>IFERROR(H77/E77,"")</f>
        <v>0</v>
      </c>
      <c r="J77" s="20"/>
      <c r="K77" s="90"/>
      <c r="L77" s="90"/>
      <c r="M77" s="7"/>
    </row>
    <row r="78" spans="1:13" ht="21" customHeight="1" x14ac:dyDescent="0.45">
      <c r="A78" s="9"/>
      <c r="B78" s="57" t="s">
        <v>109</v>
      </c>
      <c r="C78" s="1" t="s">
        <v>110</v>
      </c>
      <c r="D78" s="43" t="s">
        <v>60</v>
      </c>
      <c r="E78" s="44">
        <v>1</v>
      </c>
      <c r="F78" s="45"/>
      <c r="G78" s="40"/>
      <c r="H78" s="45">
        <f>IFERROR(F78+G78,"")</f>
        <v>0</v>
      </c>
      <c r="I78" s="46">
        <f>IFERROR(H78/E78,"")</f>
        <v>0</v>
      </c>
      <c r="J78" s="22"/>
      <c r="K78" s="87"/>
      <c r="L78" s="87"/>
      <c r="M78" s="9"/>
    </row>
    <row r="79" spans="1:13" ht="21" customHeight="1" x14ac:dyDescent="0.45">
      <c r="A79" s="7"/>
      <c r="B79" s="58" t="s">
        <v>111</v>
      </c>
      <c r="C79" s="3" t="s">
        <v>112</v>
      </c>
      <c r="D79" s="37" t="s">
        <v>60</v>
      </c>
      <c r="E79" s="38">
        <v>1</v>
      </c>
      <c r="F79" s="39"/>
      <c r="G79" s="40"/>
      <c r="H79" s="39">
        <f>IFERROR(F79+G79,"")</f>
        <v>0</v>
      </c>
      <c r="I79" s="41">
        <f>IFERROR(H79/E79,"")</f>
        <v>0</v>
      </c>
      <c r="J79" s="20"/>
      <c r="K79" s="90"/>
      <c r="L79" s="90"/>
      <c r="M79" s="7"/>
    </row>
    <row r="80" spans="1:13" ht="21" customHeight="1" x14ac:dyDescent="0.45">
      <c r="A80" s="9"/>
      <c r="B80" s="57" t="s">
        <v>113</v>
      </c>
      <c r="C80" s="1" t="s">
        <v>114</v>
      </c>
      <c r="D80" s="43" t="s">
        <v>49</v>
      </c>
      <c r="E80" s="44">
        <v>100</v>
      </c>
      <c r="F80" s="45"/>
      <c r="G80" s="40"/>
      <c r="H80" s="45">
        <f>IFERROR(F80+G80,"")</f>
        <v>0</v>
      </c>
      <c r="I80" s="46">
        <f>IFERROR(H80/E80,"")</f>
        <v>0</v>
      </c>
      <c r="J80" s="22"/>
      <c r="K80" s="87"/>
      <c r="L80" s="87"/>
      <c r="M80" s="9"/>
    </row>
    <row r="81" spans="1:13" ht="6" customHeight="1" x14ac:dyDescent="0.45"/>
    <row r="82" spans="1:13" ht="25.5" customHeight="1" x14ac:dyDescent="0.45">
      <c r="A82" s="32"/>
      <c r="B82" s="32"/>
      <c r="C82" s="92" t="s">
        <v>115</v>
      </c>
      <c r="D82" s="92"/>
      <c r="E82" s="92"/>
      <c r="F82" s="92"/>
      <c r="G82" s="60">
        <f>IFERROR(COUNTIF(G46:G80,"&gt;0"),"")</f>
        <v>0</v>
      </c>
      <c r="H82" s="59" t="s">
        <v>116</v>
      </c>
      <c r="I82" s="61">
        <f>IFERROR(SUM(G46:G80),"")</f>
        <v>0</v>
      </c>
      <c r="J82" s="32"/>
      <c r="K82" s="32"/>
      <c r="L82" s="32"/>
      <c r="M82" s="32"/>
    </row>
    <row r="83" spans="1:13" ht="7.5" customHeight="1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ht="25.5" customHeight="1" x14ac:dyDescent="0.45">
      <c r="A84" s="17"/>
      <c r="B84" s="18" t="s">
        <v>117</v>
      </c>
      <c r="C84" s="93" t="s">
        <v>118</v>
      </c>
      <c r="D84" s="93"/>
      <c r="E84" s="93"/>
      <c r="F84" s="93"/>
      <c r="G84" s="93"/>
      <c r="H84" s="93"/>
      <c r="I84" s="93"/>
      <c r="J84" s="93"/>
      <c r="K84" s="93"/>
      <c r="L84" s="93"/>
      <c r="M84" s="93"/>
    </row>
    <row r="85" spans="1:13" ht="27.75" customHeight="1" x14ac:dyDescent="0.45">
      <c r="A85" s="17"/>
      <c r="B85" s="17"/>
      <c r="C85" s="4" t="s">
        <v>119</v>
      </c>
      <c r="D85" s="4" t="s">
        <v>120</v>
      </c>
      <c r="E85" s="4" t="s">
        <v>121</v>
      </c>
      <c r="F85" s="4" t="s">
        <v>40</v>
      </c>
      <c r="G85" s="4" t="s">
        <v>122</v>
      </c>
      <c r="H85" s="4" t="s">
        <v>123</v>
      </c>
      <c r="I85" s="94" t="s">
        <v>124</v>
      </c>
      <c r="J85" s="94"/>
      <c r="K85" s="94" t="s">
        <v>24</v>
      </c>
      <c r="L85" s="94"/>
      <c r="M85" s="17"/>
    </row>
    <row r="86" spans="1:13" x14ac:dyDescent="0.45">
      <c r="A86" s="7"/>
      <c r="B86" s="7"/>
      <c r="C86" s="2"/>
      <c r="D86" s="3"/>
      <c r="E86" s="38"/>
      <c r="F86" s="20"/>
      <c r="G86" s="20"/>
      <c r="H86" s="62"/>
      <c r="I86" s="81"/>
      <c r="J86" s="81"/>
      <c r="K86" s="90"/>
      <c r="L86" s="90"/>
      <c r="M86" s="7"/>
    </row>
    <row r="87" spans="1:13" x14ac:dyDescent="0.45">
      <c r="A87" s="9"/>
      <c r="B87" s="9"/>
      <c r="C87" s="23"/>
      <c r="D87" s="1"/>
      <c r="E87" s="44"/>
      <c r="F87" s="22"/>
      <c r="G87" s="22"/>
      <c r="H87" s="63"/>
      <c r="I87" s="85"/>
      <c r="J87" s="85"/>
      <c r="K87" s="87"/>
      <c r="L87" s="87"/>
      <c r="M87" s="9"/>
    </row>
    <row r="88" spans="1:13" x14ac:dyDescent="0.45">
      <c r="A88" s="7"/>
      <c r="B88" s="7"/>
      <c r="C88" s="2"/>
      <c r="D88" s="3"/>
      <c r="E88" s="38"/>
      <c r="F88" s="20"/>
      <c r="G88" s="20"/>
      <c r="H88" s="62"/>
      <c r="I88" s="81"/>
      <c r="J88" s="81"/>
      <c r="K88" s="90"/>
      <c r="L88" s="90"/>
      <c r="M88" s="7"/>
    </row>
    <row r="89" spans="1:13" x14ac:dyDescent="0.45">
      <c r="A89" s="9"/>
      <c r="B89" s="9"/>
      <c r="C89" s="23"/>
      <c r="D89" s="1"/>
      <c r="E89" s="44"/>
      <c r="F89" s="22"/>
      <c r="G89" s="22"/>
      <c r="H89" s="63"/>
      <c r="I89" s="85"/>
      <c r="J89" s="85"/>
      <c r="K89" s="87"/>
      <c r="L89" s="87"/>
      <c r="M89" s="9"/>
    </row>
    <row r="90" spans="1:13" x14ac:dyDescent="0.45">
      <c r="A90" s="7"/>
      <c r="B90" s="7"/>
      <c r="C90" s="2"/>
      <c r="D90" s="3"/>
      <c r="E90" s="38"/>
      <c r="F90" s="20"/>
      <c r="G90" s="20"/>
      <c r="H90" s="62"/>
      <c r="I90" s="81"/>
      <c r="J90" s="81"/>
      <c r="K90" s="90"/>
      <c r="L90" s="90"/>
      <c r="M90" s="7"/>
    </row>
    <row r="91" spans="1:13" x14ac:dyDescent="0.45">
      <c r="A91" s="9"/>
      <c r="B91" s="9"/>
      <c r="C91" s="23"/>
      <c r="D91" s="1"/>
      <c r="E91" s="44"/>
      <c r="F91" s="22"/>
      <c r="G91" s="22"/>
      <c r="H91" s="63"/>
      <c r="I91" s="85"/>
      <c r="J91" s="85"/>
      <c r="K91" s="87"/>
      <c r="L91" s="87"/>
      <c r="M91" s="9"/>
    </row>
    <row r="92" spans="1:13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ht="25.5" customHeight="1" x14ac:dyDescent="0.45">
      <c r="A93" s="53"/>
      <c r="B93" s="64" t="s">
        <v>125</v>
      </c>
      <c r="C93" s="88" t="s">
        <v>126</v>
      </c>
      <c r="D93" s="88"/>
      <c r="E93" s="88"/>
      <c r="F93" s="88"/>
      <c r="G93" s="88"/>
      <c r="H93" s="88"/>
      <c r="I93" s="88"/>
      <c r="J93" s="88"/>
      <c r="K93" s="88"/>
      <c r="L93" s="88"/>
      <c r="M93" s="88"/>
    </row>
    <row r="94" spans="1:13" ht="27.75" customHeight="1" x14ac:dyDescent="0.45">
      <c r="A94" s="53"/>
      <c r="B94" s="53"/>
      <c r="C94" s="89" t="s">
        <v>127</v>
      </c>
      <c r="D94" s="89"/>
      <c r="E94" s="65" t="s">
        <v>121</v>
      </c>
      <c r="F94" s="65" t="s">
        <v>40</v>
      </c>
      <c r="G94" s="65" t="s">
        <v>128</v>
      </c>
      <c r="H94" s="89" t="s">
        <v>120</v>
      </c>
      <c r="I94" s="89"/>
      <c r="J94" s="65" t="s">
        <v>22</v>
      </c>
      <c r="K94" s="89" t="s">
        <v>129</v>
      </c>
      <c r="L94" s="89"/>
      <c r="M94" s="53"/>
    </row>
    <row r="95" spans="1:13" x14ac:dyDescent="0.45">
      <c r="A95" s="7"/>
      <c r="B95" s="7"/>
      <c r="C95" s="81"/>
      <c r="D95" s="81"/>
      <c r="E95" s="38"/>
      <c r="F95" s="20"/>
      <c r="G95" s="20"/>
      <c r="H95" s="81"/>
      <c r="I95" s="81"/>
      <c r="J95" s="20"/>
      <c r="K95" s="82"/>
      <c r="L95" s="82"/>
      <c r="M95" s="7"/>
    </row>
    <row r="96" spans="1:13" x14ac:dyDescent="0.45">
      <c r="A96" s="9"/>
      <c r="B96" s="9"/>
      <c r="C96" s="85"/>
      <c r="D96" s="85"/>
      <c r="E96" s="44"/>
      <c r="F96" s="22"/>
      <c r="G96" s="22"/>
      <c r="H96" s="85"/>
      <c r="I96" s="85"/>
      <c r="J96" s="22"/>
      <c r="K96" s="86"/>
      <c r="L96" s="86"/>
      <c r="M96" s="9"/>
    </row>
    <row r="97" spans="1:13" x14ac:dyDescent="0.45">
      <c r="A97" s="7"/>
      <c r="B97" s="7"/>
      <c r="C97" s="81"/>
      <c r="D97" s="81"/>
      <c r="E97" s="38"/>
      <c r="F97" s="20"/>
      <c r="G97" s="20"/>
      <c r="H97" s="81"/>
      <c r="I97" s="81"/>
      <c r="J97" s="20"/>
      <c r="K97" s="82"/>
      <c r="L97" s="82"/>
      <c r="M97" s="7"/>
    </row>
    <row r="98" spans="1:13" x14ac:dyDescent="0.45">
      <c r="A98" s="9"/>
      <c r="B98" s="9"/>
      <c r="C98" s="85"/>
      <c r="D98" s="85"/>
      <c r="E98" s="44"/>
      <c r="F98" s="22"/>
      <c r="G98" s="22"/>
      <c r="H98" s="85"/>
      <c r="I98" s="85"/>
      <c r="J98" s="22"/>
      <c r="K98" s="86"/>
      <c r="L98" s="86"/>
      <c r="M98" s="9"/>
    </row>
    <row r="99" spans="1:13" x14ac:dyDescent="0.45">
      <c r="A99" s="7"/>
      <c r="B99" s="7"/>
      <c r="C99" s="81"/>
      <c r="D99" s="81"/>
      <c r="E99" s="38"/>
      <c r="F99" s="20"/>
      <c r="G99" s="20"/>
      <c r="H99" s="81"/>
      <c r="I99" s="81"/>
      <c r="J99" s="20"/>
      <c r="K99" s="82"/>
      <c r="L99" s="82"/>
      <c r="M99" s="7"/>
    </row>
    <row r="100" spans="1:13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 spans="1:13" ht="25.5" customHeight="1" x14ac:dyDescent="0.45">
      <c r="A101" s="66"/>
      <c r="B101" s="67" t="s">
        <v>130</v>
      </c>
      <c r="C101" s="83" t="s">
        <v>131</v>
      </c>
      <c r="D101" s="83"/>
      <c r="E101" s="83"/>
      <c r="F101" s="83"/>
      <c r="G101" s="83"/>
      <c r="H101" s="83"/>
      <c r="I101" s="83"/>
      <c r="J101" s="83"/>
      <c r="K101" s="83"/>
      <c r="L101" s="83"/>
      <c r="M101" s="83"/>
    </row>
    <row r="102" spans="1:13" ht="27.75" customHeight="1" x14ac:dyDescent="0.45">
      <c r="A102" s="66"/>
      <c r="B102" s="66"/>
      <c r="C102" s="84" t="s">
        <v>132</v>
      </c>
      <c r="D102" s="84"/>
      <c r="E102" s="68" t="s">
        <v>133</v>
      </c>
      <c r="F102" s="68" t="s">
        <v>128</v>
      </c>
      <c r="G102" s="84" t="s">
        <v>134</v>
      </c>
      <c r="H102" s="84"/>
      <c r="I102" s="84" t="s">
        <v>135</v>
      </c>
      <c r="J102" s="84"/>
      <c r="K102" s="68" t="s">
        <v>136</v>
      </c>
      <c r="L102" s="84" t="s">
        <v>24</v>
      </c>
      <c r="M102" s="84"/>
    </row>
    <row r="103" spans="1:13" x14ac:dyDescent="0.45">
      <c r="A103" s="69"/>
      <c r="B103" s="69"/>
      <c r="C103" s="74"/>
      <c r="D103" s="74"/>
      <c r="E103" s="70"/>
      <c r="F103" s="70"/>
      <c r="G103" s="75"/>
      <c r="H103" s="75"/>
      <c r="I103" s="75"/>
      <c r="J103" s="75"/>
      <c r="K103" s="71"/>
      <c r="L103" s="74"/>
      <c r="M103" s="74"/>
    </row>
    <row r="104" spans="1:13" x14ac:dyDescent="0.45">
      <c r="A104" s="69"/>
      <c r="B104" s="69"/>
      <c r="C104" s="74"/>
      <c r="D104" s="74"/>
      <c r="E104" s="70"/>
      <c r="F104" s="70"/>
      <c r="G104" s="75"/>
      <c r="H104" s="75"/>
      <c r="I104" s="75"/>
      <c r="J104" s="75"/>
      <c r="K104" s="71"/>
      <c r="L104" s="74"/>
      <c r="M104" s="74"/>
    </row>
    <row r="105" spans="1:13" x14ac:dyDescent="0.45">
      <c r="A105" s="69"/>
      <c r="B105" s="69"/>
      <c r="C105" s="74"/>
      <c r="D105" s="74"/>
      <c r="E105" s="70"/>
      <c r="F105" s="70"/>
      <c r="G105" s="75"/>
      <c r="H105" s="75"/>
      <c r="I105" s="75"/>
      <c r="J105" s="75"/>
      <c r="K105" s="71"/>
      <c r="L105" s="74"/>
      <c r="M105" s="74"/>
    </row>
    <row r="106" spans="1:13" x14ac:dyDescent="0.45">
      <c r="A106" s="69"/>
      <c r="B106" s="69"/>
      <c r="C106" s="74"/>
      <c r="D106" s="74"/>
      <c r="E106" s="70"/>
      <c r="F106" s="70"/>
      <c r="G106" s="75"/>
      <c r="H106" s="75"/>
      <c r="I106" s="75"/>
      <c r="J106" s="75"/>
      <c r="K106" s="71"/>
      <c r="L106" s="74"/>
      <c r="M106" s="74"/>
    </row>
    <row r="107" spans="1:13" x14ac:dyDescent="0.45">
      <c r="A107" s="69"/>
      <c r="B107" s="69"/>
      <c r="C107" s="74"/>
      <c r="D107" s="74"/>
      <c r="E107" s="70"/>
      <c r="F107" s="70"/>
      <c r="G107" s="75"/>
      <c r="H107" s="75"/>
      <c r="I107" s="75"/>
      <c r="J107" s="75"/>
      <c r="K107" s="71"/>
      <c r="L107" s="74"/>
      <c r="M107" s="74"/>
    </row>
    <row r="108" spans="1:13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</row>
    <row r="109" spans="1:13" ht="25.5" customHeight="1" x14ac:dyDescent="0.45">
      <c r="A109" s="34"/>
      <c r="B109" s="72" t="s">
        <v>137</v>
      </c>
      <c r="C109" s="76" t="s">
        <v>138</v>
      </c>
      <c r="D109" s="76"/>
      <c r="E109" s="76"/>
      <c r="F109" s="76"/>
      <c r="G109" s="76"/>
      <c r="H109" s="76"/>
      <c r="I109" s="76"/>
      <c r="J109" s="76"/>
      <c r="K109" s="76"/>
      <c r="L109" s="76"/>
      <c r="M109" s="76"/>
    </row>
    <row r="110" spans="1:13" x14ac:dyDescent="0.45">
      <c r="A110" s="7"/>
      <c r="B110" s="73" t="s">
        <v>143</v>
      </c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</row>
    <row r="111" spans="1:13" x14ac:dyDescent="0.45">
      <c r="A111" s="7"/>
      <c r="B111" s="73" t="s">
        <v>139</v>
      </c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</row>
    <row r="112" spans="1:13" x14ac:dyDescent="0.45">
      <c r="A112" s="7"/>
      <c r="B112" s="73" t="s">
        <v>140</v>
      </c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</row>
    <row r="113" spans="1:13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</row>
    <row r="114" spans="1:13" ht="21.75" customHeight="1" x14ac:dyDescent="0.45">
      <c r="A114" s="6"/>
      <c r="B114" s="78" t="s">
        <v>141</v>
      </c>
      <c r="C114" s="78"/>
      <c r="D114" s="79"/>
      <c r="E114" s="79"/>
      <c r="F114" s="79"/>
      <c r="G114" s="6"/>
      <c r="H114" s="80" t="s">
        <v>142</v>
      </c>
      <c r="I114" s="80"/>
      <c r="J114" s="79"/>
      <c r="K114" s="79"/>
      <c r="L114" s="79"/>
      <c r="M114" s="79"/>
    </row>
  </sheetData>
  <mergeCells count="168">
    <mergeCell ref="B1:M1"/>
    <mergeCell ref="B2:M2"/>
    <mergeCell ref="B4:C4"/>
    <mergeCell ref="E4:F4"/>
    <mergeCell ref="H4:I4"/>
    <mergeCell ref="J4:K4"/>
    <mergeCell ref="L4:M4"/>
    <mergeCell ref="B5:C5"/>
    <mergeCell ref="E5:F5"/>
    <mergeCell ref="H5:I5"/>
    <mergeCell ref="J5:K5"/>
    <mergeCell ref="L5:M5"/>
    <mergeCell ref="C7:M7"/>
    <mergeCell ref="C8:D8"/>
    <mergeCell ref="C9:D9"/>
    <mergeCell ref="C10:D10"/>
    <mergeCell ref="C11:D11"/>
    <mergeCell ref="C12:D12"/>
    <mergeCell ref="C14:M14"/>
    <mergeCell ref="C15:D15"/>
    <mergeCell ref="G15:I15"/>
    <mergeCell ref="J15:L15"/>
    <mergeCell ref="C16:D16"/>
    <mergeCell ref="G16:I16"/>
    <mergeCell ref="J16:L16"/>
    <mergeCell ref="C17:D17"/>
    <mergeCell ref="G17:I17"/>
    <mergeCell ref="J17:L17"/>
    <mergeCell ref="C18:D18"/>
    <mergeCell ref="G18:I18"/>
    <mergeCell ref="J18:L18"/>
    <mergeCell ref="C19:D19"/>
    <mergeCell ref="G19:I19"/>
    <mergeCell ref="J19:L19"/>
    <mergeCell ref="C20:D20"/>
    <mergeCell ref="G20:I20"/>
    <mergeCell ref="J20:L20"/>
    <mergeCell ref="C21:D21"/>
    <mergeCell ref="G21:I21"/>
    <mergeCell ref="J21:L21"/>
    <mergeCell ref="C22:D22"/>
    <mergeCell ref="G22:I22"/>
    <mergeCell ref="J22:L22"/>
    <mergeCell ref="C23:D23"/>
    <mergeCell ref="G23:I23"/>
    <mergeCell ref="J23:L23"/>
    <mergeCell ref="C25:M25"/>
    <mergeCell ref="C26:M26"/>
    <mergeCell ref="C27:M27"/>
    <mergeCell ref="C28:M28"/>
    <mergeCell ref="C29:M29"/>
    <mergeCell ref="C30:M30"/>
    <mergeCell ref="C31:M31"/>
    <mergeCell ref="C32:M32"/>
    <mergeCell ref="C34:M34"/>
    <mergeCell ref="C35:M35"/>
    <mergeCell ref="C36:M36"/>
    <mergeCell ref="C37:M37"/>
    <mergeCell ref="C38:M38"/>
    <mergeCell ref="C39:M39"/>
    <mergeCell ref="C40:M40"/>
    <mergeCell ref="C41:M41"/>
    <mergeCell ref="C43:M43"/>
    <mergeCell ref="K44:L44"/>
    <mergeCell ref="C45:M45"/>
    <mergeCell ref="K46:L46"/>
    <mergeCell ref="K47:L47"/>
    <mergeCell ref="K48:L48"/>
    <mergeCell ref="K49:L49"/>
    <mergeCell ref="C50:M50"/>
    <mergeCell ref="K51:L51"/>
    <mergeCell ref="K52:L52"/>
    <mergeCell ref="K53:L53"/>
    <mergeCell ref="K54:L54"/>
    <mergeCell ref="K55:L55"/>
    <mergeCell ref="K56:L56"/>
    <mergeCell ref="K57:L57"/>
    <mergeCell ref="C58:M58"/>
    <mergeCell ref="K59:L59"/>
    <mergeCell ref="K60:L60"/>
    <mergeCell ref="K61:L61"/>
    <mergeCell ref="K62:L62"/>
    <mergeCell ref="C63:M63"/>
    <mergeCell ref="K64:L64"/>
    <mergeCell ref="K65:L65"/>
    <mergeCell ref="K66:L66"/>
    <mergeCell ref="K67:L67"/>
    <mergeCell ref="K68:L68"/>
    <mergeCell ref="K69:L69"/>
    <mergeCell ref="C70:M70"/>
    <mergeCell ref="K71:L71"/>
    <mergeCell ref="K72:L72"/>
    <mergeCell ref="K73:L73"/>
    <mergeCell ref="K74:L74"/>
    <mergeCell ref="C75:M75"/>
    <mergeCell ref="K76:L76"/>
    <mergeCell ref="K77:L77"/>
    <mergeCell ref="K78:L78"/>
    <mergeCell ref="K79:L79"/>
    <mergeCell ref="K80:L80"/>
    <mergeCell ref="C82:F82"/>
    <mergeCell ref="C84:M84"/>
    <mergeCell ref="I85:J85"/>
    <mergeCell ref="K85:L85"/>
    <mergeCell ref="I86:J86"/>
    <mergeCell ref="K86:L86"/>
    <mergeCell ref="I87:J87"/>
    <mergeCell ref="K87:L87"/>
    <mergeCell ref="I88:J88"/>
    <mergeCell ref="K88:L88"/>
    <mergeCell ref="I89:J89"/>
    <mergeCell ref="K89:L89"/>
    <mergeCell ref="I90:J90"/>
    <mergeCell ref="K90:L90"/>
    <mergeCell ref="I91:J91"/>
    <mergeCell ref="K91:L91"/>
    <mergeCell ref="C93:M93"/>
    <mergeCell ref="C94:D94"/>
    <mergeCell ref="H94:I94"/>
    <mergeCell ref="K94:L94"/>
    <mergeCell ref="C95:D95"/>
    <mergeCell ref="H95:I95"/>
    <mergeCell ref="K95:L95"/>
    <mergeCell ref="C96:D96"/>
    <mergeCell ref="H96:I96"/>
    <mergeCell ref="K96:L96"/>
    <mergeCell ref="C97:D97"/>
    <mergeCell ref="H97:I97"/>
    <mergeCell ref="K97:L97"/>
    <mergeCell ref="C98:D98"/>
    <mergeCell ref="H98:I98"/>
    <mergeCell ref="K98:L98"/>
    <mergeCell ref="C99:D99"/>
    <mergeCell ref="H99:I99"/>
    <mergeCell ref="K99:L99"/>
    <mergeCell ref="C101:M101"/>
    <mergeCell ref="C102:D102"/>
    <mergeCell ref="G102:H102"/>
    <mergeCell ref="I102:J102"/>
    <mergeCell ref="L102:M102"/>
    <mergeCell ref="C103:D103"/>
    <mergeCell ref="G103:H103"/>
    <mergeCell ref="I103:J103"/>
    <mergeCell ref="L103:M103"/>
    <mergeCell ref="C104:D104"/>
    <mergeCell ref="G104:H104"/>
    <mergeCell ref="I104:J104"/>
    <mergeCell ref="L104:M104"/>
    <mergeCell ref="C105:D105"/>
    <mergeCell ref="G105:H105"/>
    <mergeCell ref="I105:J105"/>
    <mergeCell ref="L105:M105"/>
    <mergeCell ref="C106:D106"/>
    <mergeCell ref="G106:H106"/>
    <mergeCell ref="I106:J106"/>
    <mergeCell ref="L106:M106"/>
    <mergeCell ref="C107:D107"/>
    <mergeCell ref="G107:H107"/>
    <mergeCell ref="I107:J107"/>
    <mergeCell ref="L107:M107"/>
    <mergeCell ref="C109:M109"/>
    <mergeCell ref="C110:M110"/>
    <mergeCell ref="C111:M111"/>
    <mergeCell ref="C112:M112"/>
    <mergeCell ref="B114:C114"/>
    <mergeCell ref="D114:F114"/>
    <mergeCell ref="H114:I114"/>
    <mergeCell ref="J114:M114"/>
  </mergeCells>
  <conditionalFormatting sqref="A46:M80">
    <cfRule type="expression" dxfId="0" priority="2">
      <formula>$G46&gt;0</formula>
    </cfRule>
  </conditionalFormatting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Günlük Rapor</vt:lpstr>
      <vt:lpstr>'Günlük Rapor'!Yazdırma_Alanı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FONS SOLAR</cp:lastModifiedBy>
  <cp:revision>0</cp:revision>
  <dcterms:created xsi:type="dcterms:W3CDTF">2026-06-29T13:12:00Z</dcterms:created>
  <dcterms:modified xsi:type="dcterms:W3CDTF">2026-06-29T13:45:25Z</dcterms:modified>
  <dc:language>en-US</dc:language>
</cp:coreProperties>
</file>