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E92B2B545631C0/Masaüstü/"/>
    </mc:Choice>
  </mc:AlternateContent>
  <xr:revisionPtr revIDLastSave="10" documentId="8_{2959FA2B-CDF8-4EFA-96FF-2D4551A6A3BC}" xr6:coauthVersionLast="47" xr6:coauthVersionMax="47" xr10:uidLastSave="{245098B5-1634-462F-B10D-B6F38B4CD2C5}"/>
  <bookViews>
    <workbookView xWindow="-98" yWindow="-98" windowWidth="21795" windowHeight="13875" firstSheet="1" activeTab="5" xr2:uid="{00000000-000D-0000-FFFF-FFFF00000000}"/>
  </bookViews>
  <sheets>
    <sheet name="Günlük Rapor" sheetId="1" r:id="rId1"/>
    <sheet name="İmalat İlerlemesi" sheetId="2" r:id="rId2"/>
    <sheet name="Görev Durumu" sheetId="3" r:id="rId3"/>
    <sheet name="Satın Alma" sheetId="4" r:id="rId4"/>
    <sheet name="Notlar &amp; Sorunlar" sheetId="5" r:id="rId5"/>
    <sheet name="📘 Kullanım Kılavuzu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4" l="1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8" i="2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D18" i="1"/>
  <c r="G30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<sst xmlns="http://schemas.openxmlformats.org/spreadsheetml/2006/main" count="240" uniqueCount="157">
  <si>
    <t>Adım 1 — Tarih · Hava · Genel Notlar</t>
  </si>
  <si>
    <t>Proje ID *</t>
  </si>
  <si>
    <t>örn: test-izmir-ges-2026</t>
  </si>
  <si>
    <t>Rapor Tarihi *</t>
  </si>
  <si>
    <t>GG.AA.YYYY formatında</t>
  </si>
  <si>
    <t>Hazırlayan</t>
  </si>
  <si>
    <t>Şantiye şefinin adı</t>
  </si>
  <si>
    <t>Hava Durumu *</t>
  </si>
  <si>
    <t>açık / parçalı bulutlu / bulutlu / yağmurlu / karlı / fırtınalı</t>
  </si>
  <si>
    <t>Genel Notlar</t>
  </si>
  <si>
    <t>Günün özeti, önemli gelişmeler</t>
  </si>
  <si>
    <t>Departman</t>
  </si>
  <si>
    <t>Vardiya</t>
  </si>
  <si>
    <t>Kişi Sayısı</t>
  </si>
  <si>
    <t>Notlar</t>
  </si>
  <si>
    <t>Mekanik Ekip</t>
  </si>
  <si>
    <t>Gündüz</t>
  </si>
  <si>
    <t>Gece</t>
  </si>
  <si>
    <t>Elektrik Ekip</t>
  </si>
  <si>
    <t>Yevmiyeci</t>
  </si>
  <si>
    <t>İdari / Teknik</t>
  </si>
  <si>
    <t>TOPLAM PERSONEL</t>
  </si>
  <si>
    <t>Makine Türü</t>
  </si>
  <si>
    <t>Adet</t>
  </si>
  <si>
    <t>Durum</t>
  </si>
  <si>
    <t>Ekskavatör</t>
  </si>
  <si>
    <t>çalışıyor</t>
  </si>
  <si>
    <t>Rok Delgi Makinesi</t>
  </si>
  <si>
    <t>Kolon Çakım Makinesi</t>
  </si>
  <si>
    <t>Forklift</t>
  </si>
  <si>
    <t>Vinç</t>
  </si>
  <si>
    <t>Kamyon / Nakliye</t>
  </si>
  <si>
    <t xml:space="preserve">  PERSONEL (Bugün Sahada Çalışan)</t>
  </si>
  <si>
    <t xml:space="preserve">  İŞ MAKİNELERİ</t>
  </si>
  <si>
    <t>Adım 2 — Her iş kalemi için bugün yapılan miktar</t>
  </si>
  <si>
    <t>İmalat Kalemi</t>
  </si>
  <si>
    <t>Birim</t>
  </si>
  <si>
    <t>Hedef Toplam</t>
  </si>
  <si>
    <t>Bugüne Kadar Toplam</t>
  </si>
  <si>
    <t>BUGÜN Yapılan *</t>
  </si>
  <si>
    <t>Kümülatif (=E+F)</t>
  </si>
  <si>
    <t>İlerleme %</t>
  </si>
  <si>
    <t>Şantiye Mobilizasyonu</t>
  </si>
  <si>
    <t>%</t>
  </si>
  <si>
    <t>Arazi Tesviye</t>
  </si>
  <si>
    <t>Ulaşım Yolları</t>
  </si>
  <si>
    <t>Telçit ve Güvenlik</t>
  </si>
  <si>
    <t>İşletme Binası</t>
  </si>
  <si>
    <t>Depo Alanı</t>
  </si>
  <si>
    <t>Kolon Noktalama</t>
  </si>
  <si>
    <t>adet</t>
  </si>
  <si>
    <t>Rok Delgi</t>
  </si>
  <si>
    <t>Kolon Çakım</t>
  </si>
  <si>
    <t>Kiriş Montajı</t>
  </si>
  <si>
    <t>Aşık Montajı</t>
  </si>
  <si>
    <t>Panel Montajı</t>
  </si>
  <si>
    <t>DC Kablo Kazısı</t>
  </si>
  <si>
    <t>mt</t>
  </si>
  <si>
    <t>DC Kablo Çekimi</t>
  </si>
  <si>
    <t>AC Kazi Açılması</t>
  </si>
  <si>
    <t>AC Kablo Çekimi</t>
  </si>
  <si>
    <t>OG Kablo Kazısı</t>
  </si>
  <si>
    <t>OG XLPE Kablo Çekimi</t>
  </si>
  <si>
    <t>Topraklama Kazısı</t>
  </si>
  <si>
    <t>Topraklama Şerit Döşeme</t>
  </si>
  <si>
    <t>İnvertör &amp; GES Pano</t>
  </si>
  <si>
    <t>OG Hücre Montajı</t>
  </si>
  <si>
    <t>ENH Projelendirme</t>
  </si>
  <si>
    <t>Bugün Toplam Yapılan Kalem Sayısı</t>
  </si>
  <si>
    <t>Adım 3 — Aktif görevlerin ilerleme ve durum güncellemesi</t>
  </si>
  <si>
    <t>Görev Kodu</t>
  </si>
  <si>
    <t>Görev Adı</t>
  </si>
  <si>
    <t>Mevcut Durum</t>
  </si>
  <si>
    <t>İlerleme % (Bugün)</t>
  </si>
  <si>
    <t>Yeni Durum</t>
  </si>
  <si>
    <t>M0</t>
  </si>
  <si>
    <t>tamamlandi</t>
  </si>
  <si>
    <t>M0a</t>
  </si>
  <si>
    <t>M0b</t>
  </si>
  <si>
    <t>M0c</t>
  </si>
  <si>
    <t>devam_ediyor</t>
  </si>
  <si>
    <t>M0d</t>
  </si>
  <si>
    <t>M0e</t>
  </si>
  <si>
    <t>M1</t>
  </si>
  <si>
    <t>M2</t>
  </si>
  <si>
    <t>M3</t>
  </si>
  <si>
    <t>M4</t>
  </si>
  <si>
    <t>N1</t>
  </si>
  <si>
    <t>ENH Projelendirme ve Kurulum</t>
  </si>
  <si>
    <t>E1</t>
  </si>
  <si>
    <t>beklemede</t>
  </si>
  <si>
    <t>E11</t>
  </si>
  <si>
    <t>Adım 4 — Bugün oluşturulan satın alma talepleri</t>
  </si>
  <si>
    <t>Talep Başlığı</t>
  </si>
  <si>
    <t>Malzeme / Hizmet Adı</t>
  </si>
  <si>
    <t>Miktar</t>
  </si>
  <si>
    <t>Birim Fiyat (₺)</t>
  </si>
  <si>
    <t>Toplam (₺)</t>
  </si>
  <si>
    <t>Öncelik</t>
  </si>
  <si>
    <t>Tedarikçi (varsa)</t>
  </si>
  <si>
    <t>Talep Notu</t>
  </si>
  <si>
    <t>TOPLAM TALEP TUTARI</t>
  </si>
  <si>
    <t>Adım 5 — Saha sorunları, güvenlik, kalite notları</t>
  </si>
  <si>
    <t xml:space="preserve">  SAHA SORUNLARI / BLOKERLAR</t>
  </si>
  <si>
    <t>Konu</t>
  </si>
  <si>
    <t>İlgili Kişi</t>
  </si>
  <si>
    <t>Açıklama</t>
  </si>
  <si>
    <t>Çözüm Durumu</t>
  </si>
  <si>
    <t xml:space="preserve">  GÜVENLİK &amp; KAZAlar</t>
  </si>
  <si>
    <t xml:space="preserve">  KALİTE KONTROL NOTLARI</t>
  </si>
  <si>
    <t xml:space="preserve">  YARIN YAPILACAKLAR</t>
  </si>
  <si>
    <t>Bu şablonu nasıl dolduracağınızı öğrenin</t>
  </si>
  <si>
    <t xml:space="preserve">  1️⃣  Günlük Rapor</t>
  </si>
  <si>
    <t>Proje ID:</t>
  </si>
  <si>
    <t>Supabase'deki proje ID'sini girin (örn: test-izmir-ges-2026)</t>
  </si>
  <si>
    <t>Tarih:</t>
  </si>
  <si>
    <t>Raporun tarihi — her gün için ayrı dosya</t>
  </si>
  <si>
    <t>Hava Durumu:</t>
  </si>
  <si>
    <t>Dropdown listeden seçin</t>
  </si>
  <si>
    <t>Personel:</t>
  </si>
  <si>
    <t>Her departman için o gün sahada kaç kişi çalıştığını girin</t>
  </si>
  <si>
    <t>Makineler:</t>
  </si>
  <si>
    <t>Çalışan, bekleyen, arızalı makineleri işaretleyin</t>
  </si>
  <si>
    <t xml:space="preserve">  2️⃣  İmalat İlerlemesi</t>
  </si>
  <si>
    <t>Bugüne Kadar Toplam:</t>
  </si>
  <si>
    <t>Dün akşamki kümülatif toplam (bir önceki rapordan)</t>
  </si>
  <si>
    <t>BUGÜN Yapılan:</t>
  </si>
  <si>
    <t>Sadece bugün yapılan miktar (sarı hücre)</t>
  </si>
  <si>
    <t>Kümülatif:</t>
  </si>
  <si>
    <t>Otomatik hesaplanır = Önceki + Bugün</t>
  </si>
  <si>
    <t>İlerleme %:</t>
  </si>
  <si>
    <t>Otomatik hesaplanır = Kümülatif / Hedef</t>
  </si>
  <si>
    <t xml:space="preserve">  3️⃣  Görev Durumu</t>
  </si>
  <si>
    <t>Mevcut Durum:</t>
  </si>
  <si>
    <t>Sistemdeki mevcut durum gösterilir</t>
  </si>
  <si>
    <t>Bugünkü güncel yüzdeyi girin</t>
  </si>
  <si>
    <t>Yeni Durum:</t>
  </si>
  <si>
    <t>Durum değiştiyse dropdown'dan seçin</t>
  </si>
  <si>
    <t xml:space="preserve">  4️⃣  Satın Alma</t>
  </si>
  <si>
    <t>Her satır:</t>
  </si>
  <si>
    <t>Ayrı bir malzeme / hizmet talebi</t>
  </si>
  <si>
    <t>Öncelik:</t>
  </si>
  <si>
    <t>Acil, yüksek, normal, düşük</t>
  </si>
  <si>
    <t>Toplam:</t>
  </si>
  <si>
    <t>Otomatik hesaplanır</t>
  </si>
  <si>
    <t xml:space="preserve">  ⚠  ÖNEMLİ NOTLAR</t>
  </si>
  <si>
    <t>Import:</t>
  </si>
  <si>
    <t>Bu dosyayı sisteme yükleyince otomatik işlenir</t>
  </si>
  <si>
    <t>Her gün için ayrı dosya kaydedin: rapor_2026-06-25.xlsx</t>
  </si>
  <si>
    <t>Sarı hücreler:</t>
  </si>
  <si>
    <t>Doldurulması zorunlu giriş alanlarıdır</t>
  </si>
  <si>
    <t xml:space="preserve">  FONS SOLAR  |  GÜNLÜK ŞANTİYE RAPORU</t>
  </si>
  <si>
    <t xml:space="preserve">  FONS SOLAR  |  İMALAT İLERLEMESİ</t>
  </si>
  <si>
    <t xml:space="preserve">  FONS SOLAR  |  GÖREV DURUM GÜNCELLEMESİ</t>
  </si>
  <si>
    <t>FONS SOLAR  |  SATIN ALMA TALEPLERİ</t>
  </si>
  <si>
    <t>FONS SOLAR  |  GÜNLÜK NOTLAR &amp; SORUNLAR</t>
  </si>
  <si>
    <t>FONS SOLAR  |  KULLANIM KILAVUZU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</si>
</sst>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\ &quot;₺&quot;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64748B"/>
      <name val="Calibri"/>
    </font>
    <font>
      <b/>
      <sz val="9"/>
      <color rgb="FFFFFFFF"/>
      <name val="Calibri"/>
    </font>
    <font>
      <b/>
      <sz val="9"/>
      <color rgb="FF003B8E"/>
      <name val="Calibri"/>
    </font>
    <font>
      <i/>
      <sz val="8"/>
      <color rgb="FF64748B"/>
      <name val="Calibri"/>
    </font>
    <font>
      <sz val="9"/>
      <color rgb="FF1E293B"/>
      <name val="Calibri"/>
    </font>
    <font>
      <b/>
      <sz val="10"/>
      <color rgb="FF16A34A"/>
      <name val="Calibri"/>
    </font>
    <font>
      <b/>
      <sz val="9"/>
      <color rgb="FF1E293B"/>
      <name val="Calibri"/>
    </font>
    <font>
      <b/>
      <sz val="11"/>
      <color rgb="FFEF444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3B8E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FF9C4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rgb="FF16A34A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003B8E"/>
      </left>
      <right style="thin">
        <color rgb="FF003B8E"/>
      </right>
      <top style="thin">
        <color rgb="FF003B8E"/>
      </top>
      <bottom style="thin">
        <color rgb="FF003B8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/>
    <xf numFmtId="0" fontId="5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7" fillId="0" borderId="1" xfId="0" applyFont="1" applyBorder="1"/>
    <xf numFmtId="0" fontId="6" fillId="5" borderId="1" xfId="0" applyFont="1" applyFill="1" applyBorder="1"/>
    <xf numFmtId="0" fontId="6" fillId="4" borderId="1" xfId="0" applyFont="1" applyFill="1" applyBorder="1"/>
    <xf numFmtId="0" fontId="3" fillId="2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left" vertical="center"/>
    </xf>
    <xf numFmtId="0" fontId="0" fillId="3" borderId="1" xfId="0" applyFill="1" applyBorder="1"/>
    <xf numFmtId="0" fontId="7" fillId="3" borderId="1" xfId="0" applyFont="1" applyFill="1" applyBorder="1"/>
    <xf numFmtId="9" fontId="6" fillId="6" borderId="1" xfId="0" applyNumberFormat="1" applyFont="1" applyFill="1" applyBorder="1" applyAlignment="1">
      <alignment horizontal="left" vertical="center"/>
    </xf>
    <xf numFmtId="165" fontId="9" fillId="3" borderId="1" xfId="0" applyNumberFormat="1" applyFont="1" applyFill="1" applyBorder="1"/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0"/>
  <sheetViews>
    <sheetView showGridLines="0" workbookViewId="0">
      <pane ySplit="4" topLeftCell="A8" activePane="bottomLeft" state="frozen"/>
      <selection pane="bottomLeft" activeCell="A2" sqref="A2:J2"/>
    </sheetView>
  </sheetViews>
  <sheetFormatPr defaultRowHeight="14.25" x14ac:dyDescent="0.45"/>
  <cols>
    <col min="1" max="1" width="6.73046875" customWidth="1"/>
    <col min="2" max="2" width="22" customWidth="1"/>
    <col min="3" max="3" width="12" customWidth="1"/>
    <col min="4" max="4" width="14" customWidth="1"/>
    <col min="5" max="6" width="22" customWidth="1"/>
    <col min="7" max="7" width="12" customWidth="1"/>
    <col min="8" max="9" width="22" customWidth="1"/>
    <col min="10" max="10" width="2" customWidth="1"/>
  </cols>
  <sheetData>
    <row r="1" spans="1:10" ht="36" customHeight="1" x14ac:dyDescent="0.45">
      <c r="A1" s="1" t="e" vm="1">
        <v>#VALUE!</v>
      </c>
      <c r="B1" s="29" t="s">
        <v>151</v>
      </c>
      <c r="C1" s="30"/>
      <c r="D1" s="30"/>
      <c r="E1" s="30"/>
      <c r="F1" s="30"/>
      <c r="G1" s="30"/>
      <c r="H1" s="30"/>
      <c r="I1" s="30"/>
      <c r="J1" s="30"/>
    </row>
    <row r="2" spans="1:10" ht="16.05" customHeight="1" x14ac:dyDescent="0.45">
      <c r="A2" s="31" t="s">
        <v>0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18" customHeight="1" x14ac:dyDescent="0.45"/>
    <row r="4" spans="1:10" x14ac:dyDescent="0.45">
      <c r="B4" s="2" t="s">
        <v>1</v>
      </c>
      <c r="C4" s="3"/>
      <c r="D4" s="3"/>
      <c r="E4" s="4"/>
      <c r="F4" s="3"/>
      <c r="G4" s="3"/>
      <c r="H4" s="5" t="s">
        <v>2</v>
      </c>
    </row>
    <row r="5" spans="1:10" x14ac:dyDescent="0.45">
      <c r="B5" s="2" t="s">
        <v>3</v>
      </c>
      <c r="C5" s="3"/>
      <c r="D5" s="3"/>
      <c r="E5" s="4"/>
      <c r="F5" s="3"/>
      <c r="G5" s="3"/>
      <c r="H5" s="5" t="s">
        <v>4</v>
      </c>
    </row>
    <row r="6" spans="1:10" x14ac:dyDescent="0.45">
      <c r="B6" s="2" t="s">
        <v>5</v>
      </c>
      <c r="C6" s="3"/>
      <c r="D6" s="3"/>
      <c r="E6" s="4"/>
      <c r="F6" s="3"/>
      <c r="G6" s="3"/>
      <c r="H6" s="5" t="s">
        <v>6</v>
      </c>
    </row>
    <row r="7" spans="1:10" x14ac:dyDescent="0.45">
      <c r="B7" s="2" t="s">
        <v>7</v>
      </c>
      <c r="C7" s="3"/>
      <c r="D7" s="3"/>
      <c r="E7" s="4"/>
      <c r="F7" s="3"/>
      <c r="G7" s="3"/>
      <c r="H7" s="5" t="s">
        <v>8</v>
      </c>
    </row>
    <row r="8" spans="1:10" ht="40.049999999999997" customHeight="1" x14ac:dyDescent="0.45">
      <c r="B8" s="2" t="s">
        <v>9</v>
      </c>
      <c r="C8" s="3"/>
      <c r="D8" s="3"/>
      <c r="E8" s="4"/>
      <c r="F8" s="3"/>
      <c r="G8" s="3"/>
      <c r="H8" s="5" t="s">
        <v>10</v>
      </c>
    </row>
    <row r="11" spans="1:10" x14ac:dyDescent="0.45"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11</v>
      </c>
      <c r="G11" s="6" t="s">
        <v>12</v>
      </c>
      <c r="H11" s="6" t="s">
        <v>13</v>
      </c>
      <c r="I11" s="6" t="s">
        <v>14</v>
      </c>
    </row>
    <row r="12" spans="1:10" x14ac:dyDescent="0.45">
      <c r="B12" s="7" t="s">
        <v>15</v>
      </c>
      <c r="C12" s="7" t="s">
        <v>16</v>
      </c>
      <c r="D12" s="7"/>
      <c r="E12" s="7"/>
      <c r="F12" s="7"/>
      <c r="G12" s="7"/>
      <c r="H12" s="7"/>
      <c r="I12" s="7"/>
    </row>
    <row r="13" spans="1:10" x14ac:dyDescent="0.45">
      <c r="B13" s="8" t="s">
        <v>15</v>
      </c>
      <c r="C13" s="8" t="s">
        <v>17</v>
      </c>
      <c r="D13" s="8"/>
      <c r="E13" s="8"/>
      <c r="F13" s="8"/>
      <c r="G13" s="8"/>
      <c r="H13" s="8"/>
      <c r="I13" s="8"/>
    </row>
    <row r="14" spans="1:10" x14ac:dyDescent="0.45">
      <c r="B14" s="7" t="s">
        <v>18</v>
      </c>
      <c r="C14" s="7" t="s">
        <v>16</v>
      </c>
      <c r="D14" s="7"/>
      <c r="E14" s="7"/>
      <c r="F14" s="7"/>
      <c r="G14" s="7"/>
      <c r="H14" s="7"/>
      <c r="I14" s="7"/>
    </row>
    <row r="15" spans="1:10" x14ac:dyDescent="0.45">
      <c r="B15" s="8" t="s">
        <v>18</v>
      </c>
      <c r="C15" s="8" t="s">
        <v>17</v>
      </c>
      <c r="D15" s="8"/>
      <c r="E15" s="8"/>
      <c r="F15" s="8"/>
      <c r="G15" s="8"/>
      <c r="H15" s="8"/>
      <c r="I15" s="8"/>
    </row>
    <row r="16" spans="1:10" x14ac:dyDescent="0.45">
      <c r="B16" s="7" t="s">
        <v>19</v>
      </c>
      <c r="C16" s="7" t="s">
        <v>16</v>
      </c>
      <c r="D16" s="7"/>
      <c r="E16" s="7"/>
      <c r="F16" s="7"/>
      <c r="G16" s="7"/>
      <c r="H16" s="7"/>
      <c r="I16" s="7"/>
    </row>
    <row r="17" spans="2:9" x14ac:dyDescent="0.45">
      <c r="B17" s="8" t="s">
        <v>20</v>
      </c>
      <c r="C17" s="8" t="s">
        <v>16</v>
      </c>
      <c r="D17" s="8"/>
      <c r="E17" s="8"/>
      <c r="F17" s="8"/>
      <c r="G17" s="8"/>
      <c r="H17" s="8"/>
      <c r="I17" s="8"/>
    </row>
    <row r="18" spans="2:9" x14ac:dyDescent="0.45">
      <c r="B18" s="9" t="s">
        <v>21</v>
      </c>
      <c r="D18" s="10">
        <f>SUM(D12:D17)</f>
        <v>0</v>
      </c>
    </row>
    <row r="21" spans="2:9" x14ac:dyDescent="0.45">
      <c r="B21" s="6" t="s">
        <v>22</v>
      </c>
      <c r="C21" s="6" t="s">
        <v>23</v>
      </c>
      <c r="D21" s="6" t="s">
        <v>24</v>
      </c>
      <c r="E21" s="6" t="s">
        <v>14</v>
      </c>
      <c r="F21" s="6" t="s">
        <v>22</v>
      </c>
      <c r="G21" s="6" t="s">
        <v>23</v>
      </c>
      <c r="H21" s="6" t="s">
        <v>24</v>
      </c>
      <c r="I21" s="6" t="s">
        <v>14</v>
      </c>
    </row>
    <row r="22" spans="2:9" x14ac:dyDescent="0.45">
      <c r="B22" s="11" t="s">
        <v>25</v>
      </c>
      <c r="C22" s="11"/>
      <c r="D22" s="11" t="s">
        <v>26</v>
      </c>
      <c r="E22" s="11"/>
      <c r="F22" s="11"/>
      <c r="G22" s="11"/>
      <c r="H22" s="11"/>
      <c r="I22" s="11"/>
    </row>
    <row r="23" spans="2:9" x14ac:dyDescent="0.45">
      <c r="B23" s="12" t="s">
        <v>27</v>
      </c>
      <c r="C23" s="12"/>
      <c r="D23" s="12" t="s">
        <v>26</v>
      </c>
      <c r="E23" s="12"/>
      <c r="F23" s="12"/>
      <c r="G23" s="12"/>
      <c r="H23" s="12"/>
      <c r="I23" s="12"/>
    </row>
    <row r="24" spans="2:9" x14ac:dyDescent="0.45">
      <c r="B24" s="11" t="s">
        <v>28</v>
      </c>
      <c r="C24" s="11"/>
      <c r="D24" s="11" t="s">
        <v>26</v>
      </c>
      <c r="E24" s="11"/>
      <c r="F24" s="11"/>
      <c r="G24" s="11"/>
      <c r="H24" s="11"/>
      <c r="I24" s="11"/>
    </row>
    <row r="25" spans="2:9" x14ac:dyDescent="0.45">
      <c r="B25" s="12" t="s">
        <v>29</v>
      </c>
      <c r="C25" s="12"/>
      <c r="D25" s="12" t="s">
        <v>26</v>
      </c>
      <c r="E25" s="12"/>
      <c r="F25" s="12"/>
      <c r="G25" s="12"/>
      <c r="H25" s="12"/>
      <c r="I25" s="12"/>
    </row>
    <row r="26" spans="2:9" x14ac:dyDescent="0.45">
      <c r="B26" s="11" t="s">
        <v>30</v>
      </c>
      <c r="C26" s="11"/>
      <c r="D26" s="11" t="s">
        <v>26</v>
      </c>
      <c r="E26" s="11"/>
      <c r="F26" s="11"/>
      <c r="G26" s="11"/>
      <c r="H26" s="11"/>
      <c r="I26" s="11"/>
    </row>
    <row r="27" spans="2:9" x14ac:dyDescent="0.45">
      <c r="B27" s="12" t="s">
        <v>31</v>
      </c>
      <c r="C27" s="12"/>
      <c r="D27" s="12" t="s">
        <v>26</v>
      </c>
      <c r="E27" s="12"/>
      <c r="F27" s="12"/>
      <c r="G27" s="12"/>
      <c r="H27" s="12"/>
      <c r="I27" s="12"/>
    </row>
    <row r="1010" spans="1:1" x14ac:dyDescent="0.45">
      <c r="A1010" s="13" t="s">
        <v>32</v>
      </c>
    </row>
    <row r="2020" spans="1:1" x14ac:dyDescent="0.45">
      <c r="A2020" s="13" t="s">
        <v>33</v>
      </c>
    </row>
  </sheetData>
  <mergeCells count="2">
    <mergeCell ref="B1:J1"/>
    <mergeCell ref="A2:J2"/>
  </mergeCells>
  <dataValidations count="2">
    <dataValidation type="list" allowBlank="1" sqref="E7" xr:uid="{00000000-0002-0000-0000-000000000000}">
      <formula1>"açık,parçalı bulutlu,bulutlu,yağmurlu,karlı,fırtınalı"</formula1>
    </dataValidation>
    <dataValidation type="list" allowBlank="1" sqref="D22 D23 D24 D25 D26 D27" xr:uid="{00000000-0002-0000-0000-000001000000}">
      <formula1>"çalışıyor,bekliyor,arızalı,sahada yok"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showGridLines="0" workbookViewId="0">
      <pane ySplit="4" topLeftCell="A14" activePane="bottomLeft" state="frozen"/>
      <selection pane="bottomLeft" activeCell="A33" sqref="A33:XFD33"/>
    </sheetView>
  </sheetViews>
  <sheetFormatPr defaultRowHeight="14.25" x14ac:dyDescent="0.45"/>
  <cols>
    <col min="1" max="1" width="8.1328125" customWidth="1"/>
    <col min="2" max="2" width="28" customWidth="1"/>
    <col min="3" max="3" width="8" customWidth="1"/>
    <col min="4" max="4" width="12" customWidth="1"/>
    <col min="5" max="6" width="16" customWidth="1"/>
    <col min="7" max="7" width="14" customWidth="1"/>
    <col min="8" max="8" width="12" customWidth="1"/>
    <col min="9" max="9" width="28" customWidth="1"/>
    <col min="10" max="10" width="2" customWidth="1"/>
  </cols>
  <sheetData>
    <row r="1" spans="1:10" ht="36" customHeight="1" x14ac:dyDescent="0.45">
      <c r="A1" s="1" t="e" vm="1">
        <v>#VALUE!</v>
      </c>
      <c r="B1" s="29" t="s">
        <v>152</v>
      </c>
      <c r="C1" s="30"/>
      <c r="D1" s="30"/>
      <c r="E1" s="30"/>
      <c r="F1" s="30"/>
      <c r="G1" s="30"/>
      <c r="H1" s="30"/>
      <c r="I1" s="30"/>
      <c r="J1" s="30"/>
    </row>
    <row r="2" spans="1:10" ht="16.05" customHeight="1" x14ac:dyDescent="0.45">
      <c r="A2" s="31" t="s">
        <v>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18" customHeight="1" x14ac:dyDescent="0.45"/>
    <row r="4" spans="1:10" x14ac:dyDescent="0.45"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14</v>
      </c>
    </row>
    <row r="5" spans="1:10" x14ac:dyDescent="0.45">
      <c r="B5" s="14" t="s">
        <v>42</v>
      </c>
      <c r="C5" s="8" t="s">
        <v>43</v>
      </c>
      <c r="D5" s="8">
        <v>100</v>
      </c>
      <c r="E5" s="8">
        <v>0</v>
      </c>
      <c r="F5" s="15"/>
      <c r="G5" s="8">
        <f t="shared" ref="G5:G27" si="0">IFERROR(E5+F5,"")</f>
        <v>0</v>
      </c>
      <c r="H5" s="16">
        <f t="shared" ref="H5:H27" si="1">IFERROR(G5/D5,"")</f>
        <v>0</v>
      </c>
      <c r="I5" s="8"/>
    </row>
    <row r="6" spans="1:10" x14ac:dyDescent="0.45">
      <c r="B6" s="17" t="s">
        <v>44</v>
      </c>
      <c r="C6" s="7" t="s">
        <v>43</v>
      </c>
      <c r="D6" s="7">
        <v>100</v>
      </c>
      <c r="E6" s="7">
        <v>0</v>
      </c>
      <c r="F6" s="15"/>
      <c r="G6" s="7">
        <f t="shared" si="0"/>
        <v>0</v>
      </c>
      <c r="H6" s="18">
        <f t="shared" si="1"/>
        <v>0</v>
      </c>
      <c r="I6" s="7"/>
    </row>
    <row r="7" spans="1:10" x14ac:dyDescent="0.45">
      <c r="B7" s="14" t="s">
        <v>45</v>
      </c>
      <c r="C7" s="8" t="s">
        <v>43</v>
      </c>
      <c r="D7" s="8">
        <v>100</v>
      </c>
      <c r="E7" s="8">
        <v>0</v>
      </c>
      <c r="F7" s="15"/>
      <c r="G7" s="8">
        <f t="shared" si="0"/>
        <v>0</v>
      </c>
      <c r="H7" s="16">
        <f t="shared" si="1"/>
        <v>0</v>
      </c>
      <c r="I7" s="8"/>
    </row>
    <row r="8" spans="1:10" x14ac:dyDescent="0.45">
      <c r="B8" s="17" t="s">
        <v>46</v>
      </c>
      <c r="C8" s="7" t="s">
        <v>43</v>
      </c>
      <c r="D8" s="7">
        <v>100</v>
      </c>
      <c r="E8" s="7">
        <v>0</v>
      </c>
      <c r="F8" s="15"/>
      <c r="G8" s="7">
        <f t="shared" si="0"/>
        <v>0</v>
      </c>
      <c r="H8" s="18">
        <f t="shared" si="1"/>
        <v>0</v>
      </c>
      <c r="I8" s="7"/>
    </row>
    <row r="9" spans="1:10" x14ac:dyDescent="0.45">
      <c r="B9" s="14" t="s">
        <v>47</v>
      </c>
      <c r="C9" s="8" t="s">
        <v>43</v>
      </c>
      <c r="D9" s="8">
        <v>100</v>
      </c>
      <c r="E9" s="8">
        <v>0</v>
      </c>
      <c r="F9" s="15"/>
      <c r="G9" s="8">
        <f t="shared" si="0"/>
        <v>0</v>
      </c>
      <c r="H9" s="16">
        <f t="shared" si="1"/>
        <v>0</v>
      </c>
      <c r="I9" s="8"/>
    </row>
    <row r="10" spans="1:10" x14ac:dyDescent="0.45">
      <c r="B10" s="17" t="s">
        <v>48</v>
      </c>
      <c r="C10" s="7" t="s">
        <v>43</v>
      </c>
      <c r="D10" s="7">
        <v>100</v>
      </c>
      <c r="E10" s="7">
        <v>0</v>
      </c>
      <c r="F10" s="15"/>
      <c r="G10" s="7">
        <f t="shared" si="0"/>
        <v>0</v>
      </c>
      <c r="H10" s="18">
        <f t="shared" si="1"/>
        <v>0</v>
      </c>
      <c r="I10" s="7"/>
    </row>
    <row r="11" spans="1:10" x14ac:dyDescent="0.45">
      <c r="B11" s="14" t="s">
        <v>49</v>
      </c>
      <c r="C11" s="8" t="s">
        <v>50</v>
      </c>
      <c r="D11" s="8">
        <v>3200</v>
      </c>
      <c r="E11" s="8">
        <v>0</v>
      </c>
      <c r="F11" s="15"/>
      <c r="G11" s="8">
        <f t="shared" si="0"/>
        <v>0</v>
      </c>
      <c r="H11" s="16">
        <f t="shared" si="1"/>
        <v>0</v>
      </c>
      <c r="I11" s="8"/>
    </row>
    <row r="12" spans="1:10" x14ac:dyDescent="0.45">
      <c r="B12" s="17" t="s">
        <v>51</v>
      </c>
      <c r="C12" s="7" t="s">
        <v>50</v>
      </c>
      <c r="D12" s="7">
        <v>3200</v>
      </c>
      <c r="E12" s="7">
        <v>0</v>
      </c>
      <c r="F12" s="15"/>
      <c r="G12" s="7">
        <f t="shared" si="0"/>
        <v>0</v>
      </c>
      <c r="H12" s="18">
        <f t="shared" si="1"/>
        <v>0</v>
      </c>
      <c r="I12" s="7"/>
    </row>
    <row r="13" spans="1:10" x14ac:dyDescent="0.45">
      <c r="B13" s="14" t="s">
        <v>52</v>
      </c>
      <c r="C13" s="8" t="s">
        <v>50</v>
      </c>
      <c r="D13" s="8">
        <v>3200</v>
      </c>
      <c r="E13" s="8">
        <v>0</v>
      </c>
      <c r="F13" s="15"/>
      <c r="G13" s="8">
        <f t="shared" si="0"/>
        <v>0</v>
      </c>
      <c r="H13" s="16">
        <f t="shared" si="1"/>
        <v>0</v>
      </c>
      <c r="I13" s="8"/>
    </row>
    <row r="14" spans="1:10" x14ac:dyDescent="0.45">
      <c r="B14" s="17" t="s">
        <v>53</v>
      </c>
      <c r="C14" s="7" t="s">
        <v>50</v>
      </c>
      <c r="D14" s="7">
        <v>512</v>
      </c>
      <c r="E14" s="7">
        <v>0</v>
      </c>
      <c r="F14" s="15"/>
      <c r="G14" s="7">
        <f t="shared" si="0"/>
        <v>0</v>
      </c>
      <c r="H14" s="18">
        <f t="shared" si="1"/>
        <v>0</v>
      </c>
      <c r="I14" s="7"/>
    </row>
    <row r="15" spans="1:10" x14ac:dyDescent="0.45">
      <c r="B15" s="14" t="s">
        <v>54</v>
      </c>
      <c r="C15" s="8" t="s">
        <v>50</v>
      </c>
      <c r="D15" s="8">
        <v>6650</v>
      </c>
      <c r="E15" s="8">
        <v>0</v>
      </c>
      <c r="F15" s="15"/>
      <c r="G15" s="8">
        <f t="shared" si="0"/>
        <v>0</v>
      </c>
      <c r="H15" s="16">
        <f t="shared" si="1"/>
        <v>0</v>
      </c>
      <c r="I15" s="8"/>
    </row>
    <row r="16" spans="1:10" x14ac:dyDescent="0.45">
      <c r="B16" s="17" t="s">
        <v>55</v>
      </c>
      <c r="C16" s="7" t="s">
        <v>50</v>
      </c>
      <c r="D16" s="7">
        <v>13300</v>
      </c>
      <c r="E16" s="7">
        <v>0</v>
      </c>
      <c r="F16" s="15"/>
      <c r="G16" s="7">
        <f t="shared" si="0"/>
        <v>0</v>
      </c>
      <c r="H16" s="18">
        <f t="shared" si="1"/>
        <v>0</v>
      </c>
      <c r="I16" s="7"/>
    </row>
    <row r="17" spans="2:9" x14ac:dyDescent="0.45">
      <c r="B17" s="14" t="s">
        <v>56</v>
      </c>
      <c r="C17" s="8" t="s">
        <v>57</v>
      </c>
      <c r="D17" s="8">
        <v>800</v>
      </c>
      <c r="E17" s="8">
        <v>0</v>
      </c>
      <c r="F17" s="15"/>
      <c r="G17" s="8">
        <f t="shared" si="0"/>
        <v>0</v>
      </c>
      <c r="H17" s="16">
        <f t="shared" si="1"/>
        <v>0</v>
      </c>
      <c r="I17" s="8"/>
    </row>
    <row r="18" spans="2:9" x14ac:dyDescent="0.45">
      <c r="B18" s="17" t="s">
        <v>58</v>
      </c>
      <c r="C18" s="7" t="s">
        <v>57</v>
      </c>
      <c r="D18" s="7">
        <v>75000</v>
      </c>
      <c r="E18" s="7">
        <v>0</v>
      </c>
      <c r="F18" s="15"/>
      <c r="G18" s="7">
        <f t="shared" si="0"/>
        <v>0</v>
      </c>
      <c r="H18" s="18">
        <f t="shared" si="1"/>
        <v>0</v>
      </c>
      <c r="I18" s="7"/>
    </row>
    <row r="19" spans="2:9" x14ac:dyDescent="0.45">
      <c r="B19" s="14" t="s">
        <v>59</v>
      </c>
      <c r="C19" s="8" t="s">
        <v>57</v>
      </c>
      <c r="D19" s="8">
        <v>2000</v>
      </c>
      <c r="E19" s="8">
        <v>0</v>
      </c>
      <c r="F19" s="15"/>
      <c r="G19" s="8">
        <f t="shared" si="0"/>
        <v>0</v>
      </c>
      <c r="H19" s="16">
        <f t="shared" si="1"/>
        <v>0</v>
      </c>
      <c r="I19" s="8"/>
    </row>
    <row r="20" spans="2:9" x14ac:dyDescent="0.45">
      <c r="B20" s="17" t="s">
        <v>60</v>
      </c>
      <c r="C20" s="7" t="s">
        <v>57</v>
      </c>
      <c r="D20" s="7">
        <v>15000</v>
      </c>
      <c r="E20" s="7">
        <v>0</v>
      </c>
      <c r="F20" s="15"/>
      <c r="G20" s="7">
        <f t="shared" si="0"/>
        <v>0</v>
      </c>
      <c r="H20" s="18">
        <f t="shared" si="1"/>
        <v>0</v>
      </c>
      <c r="I20" s="7"/>
    </row>
    <row r="21" spans="2:9" x14ac:dyDescent="0.45">
      <c r="B21" s="14" t="s">
        <v>61</v>
      </c>
      <c r="C21" s="8" t="s">
        <v>57</v>
      </c>
      <c r="D21" s="8">
        <v>3500</v>
      </c>
      <c r="E21" s="8">
        <v>0</v>
      </c>
      <c r="F21" s="15"/>
      <c r="G21" s="8">
        <f t="shared" si="0"/>
        <v>0</v>
      </c>
      <c r="H21" s="16">
        <f t="shared" si="1"/>
        <v>0</v>
      </c>
      <c r="I21" s="8"/>
    </row>
    <row r="22" spans="2:9" x14ac:dyDescent="0.45">
      <c r="B22" s="17" t="s">
        <v>62</v>
      </c>
      <c r="C22" s="7" t="s">
        <v>57</v>
      </c>
      <c r="D22" s="7">
        <v>2800</v>
      </c>
      <c r="E22" s="7">
        <v>0</v>
      </c>
      <c r="F22" s="15"/>
      <c r="G22" s="7">
        <f t="shared" si="0"/>
        <v>0</v>
      </c>
      <c r="H22" s="18">
        <f t="shared" si="1"/>
        <v>0</v>
      </c>
      <c r="I22" s="7"/>
    </row>
    <row r="23" spans="2:9" x14ac:dyDescent="0.45">
      <c r="B23" s="14" t="s">
        <v>63</v>
      </c>
      <c r="C23" s="8" t="s">
        <v>57</v>
      </c>
      <c r="D23" s="8">
        <v>3200</v>
      </c>
      <c r="E23" s="8">
        <v>0</v>
      </c>
      <c r="F23" s="15"/>
      <c r="G23" s="8">
        <f t="shared" si="0"/>
        <v>0</v>
      </c>
      <c r="H23" s="16">
        <f t="shared" si="1"/>
        <v>0</v>
      </c>
      <c r="I23" s="8"/>
    </row>
    <row r="24" spans="2:9" x14ac:dyDescent="0.45">
      <c r="B24" s="17" t="s">
        <v>64</v>
      </c>
      <c r="C24" s="7" t="s">
        <v>57</v>
      </c>
      <c r="D24" s="7">
        <v>3200</v>
      </c>
      <c r="E24" s="7">
        <v>0</v>
      </c>
      <c r="F24" s="15"/>
      <c r="G24" s="7">
        <f t="shared" si="0"/>
        <v>0</v>
      </c>
      <c r="H24" s="18">
        <f t="shared" si="1"/>
        <v>0</v>
      </c>
      <c r="I24" s="7"/>
    </row>
    <row r="25" spans="2:9" x14ac:dyDescent="0.45">
      <c r="B25" s="14" t="s">
        <v>65</v>
      </c>
      <c r="C25" s="8" t="s">
        <v>50</v>
      </c>
      <c r="D25" s="8">
        <v>24</v>
      </c>
      <c r="E25" s="8">
        <v>0</v>
      </c>
      <c r="F25" s="15"/>
      <c r="G25" s="8">
        <f t="shared" si="0"/>
        <v>0</v>
      </c>
      <c r="H25" s="16">
        <f t="shared" si="1"/>
        <v>0</v>
      </c>
      <c r="I25" s="8"/>
    </row>
    <row r="26" spans="2:9" x14ac:dyDescent="0.45">
      <c r="B26" s="17" t="s">
        <v>66</v>
      </c>
      <c r="C26" s="7" t="s">
        <v>50</v>
      </c>
      <c r="D26" s="7">
        <v>12</v>
      </c>
      <c r="E26" s="7">
        <v>0</v>
      </c>
      <c r="F26" s="15"/>
      <c r="G26" s="7">
        <f t="shared" si="0"/>
        <v>0</v>
      </c>
      <c r="H26" s="18">
        <f t="shared" si="1"/>
        <v>0</v>
      </c>
      <c r="I26" s="7"/>
    </row>
    <row r="27" spans="2:9" x14ac:dyDescent="0.45">
      <c r="B27" s="14" t="s">
        <v>67</v>
      </c>
      <c r="C27" s="8" t="s">
        <v>43</v>
      </c>
      <c r="D27" s="8">
        <v>100</v>
      </c>
      <c r="E27" s="8">
        <v>0</v>
      </c>
      <c r="F27" s="15"/>
      <c r="G27" s="8">
        <f t="shared" si="0"/>
        <v>0</v>
      </c>
      <c r="H27" s="16">
        <f t="shared" si="1"/>
        <v>0</v>
      </c>
      <c r="I27" s="8"/>
    </row>
    <row r="28" spans="2:9" x14ac:dyDescent="0.45">
      <c r="B28" s="9" t="s">
        <v>68</v>
      </c>
      <c r="C28" s="19"/>
      <c r="D28" s="19"/>
      <c r="E28" s="19"/>
      <c r="F28" s="20">
        <f>COUNTIF(F5:F27,"&gt;"&amp;0)</f>
        <v>0</v>
      </c>
      <c r="G28" s="19"/>
      <c r="H28" s="19"/>
      <c r="I28" s="19"/>
    </row>
  </sheetData>
  <mergeCells count="2">
    <mergeCell ref="B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ySplit="4" topLeftCell="A5" activePane="bottomLeft" state="frozen"/>
      <selection pane="bottomLeft" activeCell="A33" sqref="A33:XFD33"/>
    </sheetView>
  </sheetViews>
  <sheetFormatPr defaultRowHeight="14.25" x14ac:dyDescent="0.45"/>
  <cols>
    <col min="1" max="1" width="5.46484375" customWidth="1"/>
    <col min="2" max="2" width="10" customWidth="1"/>
    <col min="3" max="3" width="32" customWidth="1"/>
    <col min="4" max="6" width="18" customWidth="1"/>
    <col min="7" max="7" width="32" customWidth="1"/>
    <col min="8" max="8" width="2" customWidth="1"/>
  </cols>
  <sheetData>
    <row r="1" spans="1:10" ht="36" customHeight="1" x14ac:dyDescent="0.45">
      <c r="A1" s="1" t="e" vm="1">
        <v>#VALUE!</v>
      </c>
      <c r="B1" s="29" t="s">
        <v>153</v>
      </c>
      <c r="C1" s="30"/>
      <c r="D1" s="30"/>
      <c r="E1" s="30"/>
      <c r="F1" s="30"/>
      <c r="G1" s="30"/>
      <c r="H1" s="30"/>
      <c r="I1" s="30"/>
      <c r="J1" s="30"/>
    </row>
    <row r="2" spans="1:10" ht="16.05" customHeight="1" x14ac:dyDescent="0.45">
      <c r="A2" s="31" t="s">
        <v>69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18" customHeight="1" x14ac:dyDescent="0.45"/>
    <row r="4" spans="1:10" x14ac:dyDescent="0.45"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14</v>
      </c>
    </row>
    <row r="5" spans="1:10" x14ac:dyDescent="0.45">
      <c r="B5" s="8" t="s">
        <v>75</v>
      </c>
      <c r="C5" s="8" t="s">
        <v>42</v>
      </c>
      <c r="D5" s="8" t="s">
        <v>76</v>
      </c>
      <c r="E5" s="21">
        <v>1</v>
      </c>
      <c r="F5" s="15"/>
      <c r="G5" s="8"/>
    </row>
    <row r="6" spans="1:10" x14ac:dyDescent="0.45">
      <c r="B6" s="7" t="s">
        <v>77</v>
      </c>
      <c r="C6" s="7" t="s">
        <v>44</v>
      </c>
      <c r="D6" s="7" t="s">
        <v>76</v>
      </c>
      <c r="E6" s="21">
        <v>1</v>
      </c>
      <c r="F6" s="15"/>
      <c r="G6" s="7"/>
    </row>
    <row r="7" spans="1:10" x14ac:dyDescent="0.45">
      <c r="B7" s="8" t="s">
        <v>78</v>
      </c>
      <c r="C7" s="8" t="s">
        <v>45</v>
      </c>
      <c r="D7" s="8" t="s">
        <v>76</v>
      </c>
      <c r="E7" s="21">
        <v>1</v>
      </c>
      <c r="F7" s="15"/>
      <c r="G7" s="8"/>
    </row>
    <row r="8" spans="1:10" x14ac:dyDescent="0.45">
      <c r="B8" s="7" t="s">
        <v>79</v>
      </c>
      <c r="C8" s="7" t="s">
        <v>47</v>
      </c>
      <c r="D8" s="7" t="s">
        <v>80</v>
      </c>
      <c r="E8" s="21">
        <v>0.8</v>
      </c>
      <c r="F8" s="15"/>
      <c r="G8" s="7"/>
    </row>
    <row r="9" spans="1:10" x14ac:dyDescent="0.45">
      <c r="B9" s="8" t="s">
        <v>81</v>
      </c>
      <c r="C9" s="8" t="s">
        <v>48</v>
      </c>
      <c r="D9" s="8" t="s">
        <v>80</v>
      </c>
      <c r="E9" s="21">
        <v>0.75</v>
      </c>
      <c r="F9" s="15"/>
      <c r="G9" s="8"/>
    </row>
    <row r="10" spans="1:10" x14ac:dyDescent="0.45">
      <c r="B10" s="7" t="s">
        <v>82</v>
      </c>
      <c r="C10" s="7" t="s">
        <v>46</v>
      </c>
      <c r="D10" s="7" t="s">
        <v>80</v>
      </c>
      <c r="E10" s="21">
        <v>0.6</v>
      </c>
      <c r="F10" s="15"/>
      <c r="G10" s="7"/>
    </row>
    <row r="11" spans="1:10" x14ac:dyDescent="0.45">
      <c r="B11" s="8" t="s">
        <v>83</v>
      </c>
      <c r="C11" s="8" t="s">
        <v>49</v>
      </c>
      <c r="D11" s="8" t="s">
        <v>76</v>
      </c>
      <c r="E11" s="21">
        <v>1</v>
      </c>
      <c r="F11" s="15"/>
      <c r="G11" s="8"/>
    </row>
    <row r="12" spans="1:10" x14ac:dyDescent="0.45">
      <c r="B12" s="7" t="s">
        <v>84</v>
      </c>
      <c r="C12" s="7" t="s">
        <v>51</v>
      </c>
      <c r="D12" s="7" t="s">
        <v>80</v>
      </c>
      <c r="E12" s="21">
        <v>0.65</v>
      </c>
      <c r="F12" s="15"/>
      <c r="G12" s="7"/>
    </row>
    <row r="13" spans="1:10" x14ac:dyDescent="0.45">
      <c r="B13" s="8" t="s">
        <v>85</v>
      </c>
      <c r="C13" s="8" t="s">
        <v>52</v>
      </c>
      <c r="D13" s="8" t="s">
        <v>80</v>
      </c>
      <c r="E13" s="21">
        <v>0.2</v>
      </c>
      <c r="F13" s="15"/>
      <c r="G13" s="8"/>
    </row>
    <row r="14" spans="1:10" x14ac:dyDescent="0.45">
      <c r="B14" s="7" t="s">
        <v>86</v>
      </c>
      <c r="C14" s="7" t="s">
        <v>53</v>
      </c>
      <c r="D14" s="7" t="s">
        <v>80</v>
      </c>
      <c r="E14" s="21">
        <v>0.35</v>
      </c>
      <c r="F14" s="15"/>
      <c r="G14" s="7"/>
    </row>
    <row r="15" spans="1:10" x14ac:dyDescent="0.45">
      <c r="B15" s="8" t="s">
        <v>87</v>
      </c>
      <c r="C15" s="8" t="s">
        <v>88</v>
      </c>
      <c r="D15" s="8" t="s">
        <v>80</v>
      </c>
      <c r="E15" s="21">
        <v>0.3</v>
      </c>
      <c r="F15" s="15"/>
      <c r="G15" s="8"/>
    </row>
    <row r="16" spans="1:10" x14ac:dyDescent="0.45">
      <c r="B16" s="7" t="s">
        <v>89</v>
      </c>
      <c r="C16" s="7" t="s">
        <v>56</v>
      </c>
      <c r="D16" s="7" t="s">
        <v>90</v>
      </c>
      <c r="E16" s="21">
        <v>0</v>
      </c>
      <c r="F16" s="15"/>
      <c r="G16" s="7"/>
    </row>
    <row r="17" spans="2:7" x14ac:dyDescent="0.45">
      <c r="B17" s="8" t="s">
        <v>91</v>
      </c>
      <c r="C17" s="8" t="s">
        <v>61</v>
      </c>
      <c r="D17" s="8" t="s">
        <v>90</v>
      </c>
      <c r="E17" s="21">
        <v>0</v>
      </c>
      <c r="F17" s="15"/>
      <c r="G17" s="8"/>
    </row>
  </sheetData>
  <mergeCells count="2">
    <mergeCell ref="B1:J1"/>
    <mergeCell ref="A2:J2"/>
  </mergeCells>
  <dataValidations count="1">
    <dataValidation type="list" allowBlank="1" sqref="F5 F6 F7 F8 F9 F10 F11 F12 F13 F14 F15 F16 F17" xr:uid="{00000000-0002-0000-0200-000000000000}">
      <formula1>"beklemede,devam_ediyor,tamamlandi,askida,iptal"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showGridLines="0" workbookViewId="0">
      <pane ySplit="4" topLeftCell="A5" activePane="bottomLeft" state="frozen"/>
      <selection pane="bottomLeft" activeCell="F30" sqref="F30"/>
    </sheetView>
  </sheetViews>
  <sheetFormatPr defaultRowHeight="14.25" x14ac:dyDescent="0.45"/>
  <cols>
    <col min="1" max="1" width="5.46484375" customWidth="1"/>
    <col min="2" max="2" width="22" customWidth="1"/>
    <col min="3" max="3" width="26" customWidth="1"/>
    <col min="4" max="4" width="10" customWidth="1"/>
    <col min="5" max="5" width="8" customWidth="1"/>
    <col min="6" max="7" width="14" customWidth="1"/>
    <col min="8" max="8" width="10" customWidth="1"/>
    <col min="9" max="9" width="20" customWidth="1"/>
    <col min="10" max="10" width="28" customWidth="1"/>
    <col min="11" max="11" width="2" customWidth="1"/>
  </cols>
  <sheetData>
    <row r="1" spans="1:12" ht="36" customHeight="1" x14ac:dyDescent="0.45">
      <c r="A1" s="1" t="e" vm="1">
        <v>#VALUE!</v>
      </c>
      <c r="B1" s="29" t="s">
        <v>154</v>
      </c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6.05" customHeight="1" x14ac:dyDescent="0.45">
      <c r="A2" s="31" t="s">
        <v>92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8" customHeight="1" x14ac:dyDescent="0.45"/>
    <row r="4" spans="1:12" x14ac:dyDescent="0.45">
      <c r="B4" s="6" t="s">
        <v>93</v>
      </c>
      <c r="C4" s="6" t="s">
        <v>94</v>
      </c>
      <c r="D4" s="6" t="s">
        <v>95</v>
      </c>
      <c r="E4" s="6" t="s">
        <v>36</v>
      </c>
      <c r="F4" s="6" t="s">
        <v>96</v>
      </c>
      <c r="G4" s="6" t="s">
        <v>97</v>
      </c>
      <c r="H4" s="6" t="s">
        <v>98</v>
      </c>
      <c r="I4" s="6" t="s">
        <v>99</v>
      </c>
      <c r="J4" s="6" t="s">
        <v>100</v>
      </c>
      <c r="K4" s="6"/>
    </row>
    <row r="5" spans="1:12" x14ac:dyDescent="0.45">
      <c r="B5" s="12"/>
      <c r="C5" s="12"/>
      <c r="D5" s="12"/>
      <c r="E5" s="12"/>
      <c r="F5" s="12"/>
      <c r="G5" s="12">
        <f t="shared" ref="G5:G29" si="0">IFERROR(D5*F5,"")</f>
        <v>0</v>
      </c>
      <c r="H5" s="12"/>
      <c r="I5" s="12"/>
      <c r="J5" s="12"/>
    </row>
    <row r="6" spans="1:12" x14ac:dyDescent="0.45">
      <c r="B6" s="11"/>
      <c r="C6" s="11"/>
      <c r="D6" s="11"/>
      <c r="E6" s="11"/>
      <c r="F6" s="11"/>
      <c r="G6" s="11">
        <f t="shared" si="0"/>
        <v>0</v>
      </c>
      <c r="H6" s="11"/>
      <c r="I6" s="11"/>
      <c r="J6" s="11"/>
    </row>
    <row r="7" spans="1:12" x14ac:dyDescent="0.45">
      <c r="B7" s="12"/>
      <c r="C7" s="12"/>
      <c r="D7" s="12"/>
      <c r="E7" s="12"/>
      <c r="F7" s="12"/>
      <c r="G7" s="12">
        <f t="shared" si="0"/>
        <v>0</v>
      </c>
      <c r="H7" s="12"/>
      <c r="I7" s="12"/>
      <c r="J7" s="12"/>
    </row>
    <row r="8" spans="1:12" x14ac:dyDescent="0.45">
      <c r="B8" s="11"/>
      <c r="C8" s="11"/>
      <c r="D8" s="11"/>
      <c r="E8" s="11"/>
      <c r="F8" s="11"/>
      <c r="G8" s="11">
        <f t="shared" si="0"/>
        <v>0</v>
      </c>
      <c r="H8" s="11"/>
      <c r="I8" s="11"/>
      <c r="J8" s="11"/>
    </row>
    <row r="9" spans="1:12" x14ac:dyDescent="0.45">
      <c r="B9" s="12"/>
      <c r="C9" s="12"/>
      <c r="D9" s="12"/>
      <c r="E9" s="12"/>
      <c r="F9" s="12"/>
      <c r="G9" s="12">
        <f t="shared" si="0"/>
        <v>0</v>
      </c>
      <c r="H9" s="12"/>
      <c r="I9" s="12"/>
      <c r="J9" s="12"/>
    </row>
    <row r="10" spans="1:12" x14ac:dyDescent="0.45">
      <c r="B10" s="11"/>
      <c r="C10" s="11"/>
      <c r="D10" s="11"/>
      <c r="E10" s="11"/>
      <c r="F10" s="11"/>
      <c r="G10" s="11">
        <f t="shared" si="0"/>
        <v>0</v>
      </c>
      <c r="H10" s="11"/>
      <c r="I10" s="11"/>
      <c r="J10" s="11"/>
    </row>
    <row r="11" spans="1:12" x14ac:dyDescent="0.45">
      <c r="B11" s="12"/>
      <c r="C11" s="12"/>
      <c r="D11" s="12"/>
      <c r="E11" s="12"/>
      <c r="F11" s="12"/>
      <c r="G11" s="12">
        <f t="shared" si="0"/>
        <v>0</v>
      </c>
      <c r="H11" s="12"/>
      <c r="I11" s="12"/>
      <c r="J11" s="12"/>
    </row>
    <row r="12" spans="1:12" x14ac:dyDescent="0.45">
      <c r="B12" s="11"/>
      <c r="C12" s="11"/>
      <c r="D12" s="11"/>
      <c r="E12" s="11"/>
      <c r="F12" s="11"/>
      <c r="G12" s="11">
        <f t="shared" si="0"/>
        <v>0</v>
      </c>
      <c r="H12" s="11"/>
      <c r="I12" s="11"/>
      <c r="J12" s="11"/>
    </row>
    <row r="13" spans="1:12" x14ac:dyDescent="0.45">
      <c r="B13" s="12"/>
      <c r="C13" s="12"/>
      <c r="D13" s="12"/>
      <c r="E13" s="12"/>
      <c r="F13" s="12"/>
      <c r="G13" s="12">
        <f t="shared" si="0"/>
        <v>0</v>
      </c>
      <c r="H13" s="12"/>
      <c r="I13" s="12"/>
      <c r="J13" s="12"/>
    </row>
    <row r="14" spans="1:12" x14ac:dyDescent="0.45">
      <c r="B14" s="11"/>
      <c r="C14" s="11"/>
      <c r="D14" s="11"/>
      <c r="E14" s="11"/>
      <c r="F14" s="11"/>
      <c r="G14" s="11">
        <f t="shared" si="0"/>
        <v>0</v>
      </c>
      <c r="H14" s="11"/>
      <c r="I14" s="11"/>
      <c r="J14" s="11"/>
    </row>
    <row r="15" spans="1:12" x14ac:dyDescent="0.45">
      <c r="B15" s="12"/>
      <c r="C15" s="12"/>
      <c r="D15" s="12"/>
      <c r="E15" s="12"/>
      <c r="F15" s="12"/>
      <c r="G15" s="12">
        <f t="shared" si="0"/>
        <v>0</v>
      </c>
      <c r="H15" s="12"/>
      <c r="I15" s="12"/>
      <c r="J15" s="12"/>
    </row>
    <row r="16" spans="1:12" x14ac:dyDescent="0.45">
      <c r="B16" s="11"/>
      <c r="C16" s="11"/>
      <c r="D16" s="11"/>
      <c r="E16" s="11"/>
      <c r="F16" s="11"/>
      <c r="G16" s="11">
        <f t="shared" si="0"/>
        <v>0</v>
      </c>
      <c r="H16" s="11"/>
      <c r="I16" s="11"/>
      <c r="J16" s="11"/>
    </row>
    <row r="17" spans="2:10" x14ac:dyDescent="0.45">
      <c r="B17" s="12"/>
      <c r="C17" s="12"/>
      <c r="D17" s="12"/>
      <c r="E17" s="12"/>
      <c r="F17" s="12"/>
      <c r="G17" s="12">
        <f t="shared" si="0"/>
        <v>0</v>
      </c>
      <c r="H17" s="12"/>
      <c r="I17" s="12"/>
      <c r="J17" s="12"/>
    </row>
    <row r="18" spans="2:10" x14ac:dyDescent="0.45">
      <c r="B18" s="11"/>
      <c r="C18" s="11"/>
      <c r="D18" s="11"/>
      <c r="E18" s="11"/>
      <c r="F18" s="11"/>
      <c r="G18" s="11">
        <f t="shared" si="0"/>
        <v>0</v>
      </c>
      <c r="H18" s="11"/>
      <c r="I18" s="11"/>
      <c r="J18" s="11"/>
    </row>
    <row r="19" spans="2:10" x14ac:dyDescent="0.45">
      <c r="B19" s="12"/>
      <c r="C19" s="12"/>
      <c r="D19" s="12"/>
      <c r="E19" s="12"/>
      <c r="F19" s="12"/>
      <c r="G19" s="12">
        <f t="shared" si="0"/>
        <v>0</v>
      </c>
      <c r="H19" s="12"/>
      <c r="I19" s="12"/>
      <c r="J19" s="12"/>
    </row>
    <row r="20" spans="2:10" x14ac:dyDescent="0.45">
      <c r="B20" s="11"/>
      <c r="C20" s="11"/>
      <c r="D20" s="11"/>
      <c r="E20" s="11"/>
      <c r="F20" s="11"/>
      <c r="G20" s="11">
        <f t="shared" si="0"/>
        <v>0</v>
      </c>
      <c r="H20" s="11"/>
      <c r="I20" s="11"/>
      <c r="J20" s="11"/>
    </row>
    <row r="21" spans="2:10" x14ac:dyDescent="0.45">
      <c r="B21" s="12"/>
      <c r="C21" s="12"/>
      <c r="D21" s="12"/>
      <c r="E21" s="12"/>
      <c r="F21" s="12"/>
      <c r="G21" s="12">
        <f t="shared" si="0"/>
        <v>0</v>
      </c>
      <c r="H21" s="12"/>
      <c r="I21" s="12"/>
      <c r="J21" s="12"/>
    </row>
    <row r="22" spans="2:10" x14ac:dyDescent="0.45">
      <c r="B22" s="11"/>
      <c r="C22" s="11"/>
      <c r="D22" s="11"/>
      <c r="E22" s="11"/>
      <c r="F22" s="11"/>
      <c r="G22" s="11">
        <f t="shared" si="0"/>
        <v>0</v>
      </c>
      <c r="H22" s="11"/>
      <c r="I22" s="11"/>
      <c r="J22" s="11"/>
    </row>
    <row r="23" spans="2:10" x14ac:dyDescent="0.45">
      <c r="B23" s="12"/>
      <c r="C23" s="12"/>
      <c r="D23" s="12"/>
      <c r="E23" s="12"/>
      <c r="F23" s="12"/>
      <c r="G23" s="12">
        <f t="shared" si="0"/>
        <v>0</v>
      </c>
      <c r="H23" s="12"/>
      <c r="I23" s="12"/>
      <c r="J23" s="12"/>
    </row>
    <row r="24" spans="2:10" x14ac:dyDescent="0.45">
      <c r="B24" s="11"/>
      <c r="C24" s="11"/>
      <c r="D24" s="11"/>
      <c r="E24" s="11"/>
      <c r="F24" s="11"/>
      <c r="G24" s="11">
        <f t="shared" si="0"/>
        <v>0</v>
      </c>
      <c r="H24" s="11"/>
      <c r="I24" s="11"/>
      <c r="J24" s="11"/>
    </row>
    <row r="25" spans="2:10" x14ac:dyDescent="0.45">
      <c r="B25" s="12"/>
      <c r="C25" s="12"/>
      <c r="D25" s="12"/>
      <c r="E25" s="12"/>
      <c r="F25" s="12"/>
      <c r="G25" s="12">
        <f t="shared" si="0"/>
        <v>0</v>
      </c>
      <c r="H25" s="12"/>
      <c r="I25" s="12"/>
      <c r="J25" s="12"/>
    </row>
    <row r="26" spans="2:10" x14ac:dyDescent="0.45">
      <c r="B26" s="11"/>
      <c r="C26" s="11"/>
      <c r="D26" s="11"/>
      <c r="E26" s="11"/>
      <c r="F26" s="11"/>
      <c r="G26" s="11">
        <f t="shared" si="0"/>
        <v>0</v>
      </c>
      <c r="H26" s="11"/>
      <c r="I26" s="11"/>
      <c r="J26" s="11"/>
    </row>
    <row r="27" spans="2:10" x14ac:dyDescent="0.45">
      <c r="B27" s="12"/>
      <c r="C27" s="12"/>
      <c r="D27" s="12"/>
      <c r="E27" s="12"/>
      <c r="F27" s="12"/>
      <c r="G27" s="12">
        <f t="shared" si="0"/>
        <v>0</v>
      </c>
      <c r="H27" s="12"/>
      <c r="I27" s="12"/>
      <c r="J27" s="12"/>
    </row>
    <row r="28" spans="2:10" x14ac:dyDescent="0.45">
      <c r="B28" s="11"/>
      <c r="C28" s="11"/>
      <c r="D28" s="11"/>
      <c r="E28" s="11"/>
      <c r="F28" s="11"/>
      <c r="G28" s="11">
        <f t="shared" si="0"/>
        <v>0</v>
      </c>
      <c r="H28" s="11"/>
      <c r="I28" s="11"/>
      <c r="J28" s="11"/>
    </row>
    <row r="29" spans="2:10" x14ac:dyDescent="0.45">
      <c r="B29" s="12"/>
      <c r="C29" s="12"/>
      <c r="D29" s="12"/>
      <c r="E29" s="12"/>
      <c r="F29" s="12"/>
      <c r="G29" s="12">
        <f t="shared" si="0"/>
        <v>0</v>
      </c>
      <c r="H29" s="12"/>
      <c r="I29" s="12"/>
      <c r="J29" s="12"/>
    </row>
    <row r="30" spans="2:10" x14ac:dyDescent="0.45">
      <c r="B30" s="9" t="s">
        <v>101</v>
      </c>
      <c r="C30" s="19"/>
      <c r="D30" s="19"/>
      <c r="E30" s="19"/>
      <c r="F30" s="19"/>
      <c r="G30" s="22">
        <f>SUM(G5:G29)</f>
        <v>0</v>
      </c>
      <c r="H30" s="19"/>
      <c r="I30" s="19"/>
      <c r="J30" s="19"/>
    </row>
  </sheetData>
  <mergeCells count="2">
    <mergeCell ref="A2:L2"/>
    <mergeCell ref="B1:L1"/>
  </mergeCells>
  <dataValidations count="1">
    <dataValidation type="list" allowBlank="1" sqref="H5 H6 H7 H8 H9 H10 H11 H12 H13 H14 H15 H16 H17 H18 H19 H20 H21 H22 H23 H24 H25 H26 H27 H28 H29" xr:uid="{00000000-0002-0000-0300-000000000000}">
      <formula1>"acil,yüksek,normal,düşük"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showGridLines="0" topLeftCell="A8" workbookViewId="0"/>
  </sheetViews>
  <sheetFormatPr defaultRowHeight="14.25" x14ac:dyDescent="0.45"/>
  <cols>
    <col min="1" max="1" width="5.46484375" customWidth="1"/>
    <col min="2" max="2" width="26" customWidth="1"/>
    <col min="3" max="3" width="12" customWidth="1"/>
    <col min="4" max="4" width="18" customWidth="1"/>
    <col min="5" max="5" width="36" customWidth="1"/>
    <col min="6" max="6" width="18" customWidth="1"/>
  </cols>
  <sheetData>
    <row r="1" spans="1:6" ht="36" customHeight="1" x14ac:dyDescent="0.45">
      <c r="A1" s="1" t="e" vm="1">
        <v>#VALUE!</v>
      </c>
      <c r="B1" s="29" t="s">
        <v>155</v>
      </c>
      <c r="C1" s="30"/>
      <c r="D1" s="30"/>
      <c r="E1" s="30"/>
      <c r="F1" s="30"/>
    </row>
    <row r="2" spans="1:6" x14ac:dyDescent="0.45">
      <c r="A2" s="31" t="s">
        <v>102</v>
      </c>
      <c r="B2" s="30"/>
      <c r="C2" s="30"/>
      <c r="D2" s="30"/>
      <c r="E2" s="30"/>
      <c r="F2" s="30"/>
    </row>
    <row r="3" spans="1:6" x14ac:dyDescent="0.45">
      <c r="A3" s="32" t="s">
        <v>103</v>
      </c>
      <c r="B3" s="30"/>
      <c r="C3" s="30"/>
      <c r="D3" s="30"/>
      <c r="E3" s="30"/>
      <c r="F3" s="30"/>
    </row>
    <row r="4" spans="1:6" x14ac:dyDescent="0.45">
      <c r="A4" s="6"/>
      <c r="B4" s="6" t="s">
        <v>104</v>
      </c>
      <c r="C4" s="6" t="s">
        <v>98</v>
      </c>
      <c r="D4" s="6" t="s">
        <v>105</v>
      </c>
      <c r="E4" s="6" t="s">
        <v>106</v>
      </c>
      <c r="F4" s="6" t="s">
        <v>107</v>
      </c>
    </row>
    <row r="5" spans="1:6" ht="24" customHeight="1" x14ac:dyDescent="0.45">
      <c r="B5" s="23"/>
      <c r="C5" s="23"/>
      <c r="D5" s="23"/>
      <c r="E5" s="23"/>
      <c r="F5" s="23"/>
    </row>
    <row r="6" spans="1:6" ht="24" customHeight="1" x14ac:dyDescent="0.45">
      <c r="B6" s="24"/>
      <c r="C6" s="24"/>
      <c r="D6" s="24"/>
      <c r="E6" s="24"/>
      <c r="F6" s="24"/>
    </row>
    <row r="7" spans="1:6" ht="24" customHeight="1" x14ac:dyDescent="0.45">
      <c r="B7" s="23"/>
      <c r="C7" s="23"/>
      <c r="D7" s="23"/>
      <c r="E7" s="23"/>
      <c r="F7" s="23"/>
    </row>
    <row r="8" spans="1:6" ht="24" customHeight="1" x14ac:dyDescent="0.45">
      <c r="B8" s="24"/>
      <c r="C8" s="24"/>
      <c r="D8" s="24"/>
      <c r="E8" s="24"/>
      <c r="F8" s="24"/>
    </row>
    <row r="9" spans="1:6" ht="24" customHeight="1" x14ac:dyDescent="0.45">
      <c r="B9" s="23"/>
      <c r="C9" s="23"/>
      <c r="D9" s="23"/>
      <c r="E9" s="23"/>
      <c r="F9" s="23"/>
    </row>
    <row r="10" spans="1:6" x14ac:dyDescent="0.45">
      <c r="A10" s="34" t="s">
        <v>108</v>
      </c>
      <c r="B10" s="30"/>
      <c r="C10" s="30"/>
      <c r="D10" s="30"/>
      <c r="E10" s="30"/>
      <c r="F10" s="30"/>
    </row>
    <row r="11" spans="1:6" x14ac:dyDescent="0.45">
      <c r="A11" s="25"/>
      <c r="B11" s="25" t="s">
        <v>104</v>
      </c>
      <c r="C11" s="25" t="s">
        <v>98</v>
      </c>
      <c r="D11" s="25" t="s">
        <v>105</v>
      </c>
      <c r="E11" s="25" t="s">
        <v>106</v>
      </c>
      <c r="F11" s="25" t="s">
        <v>107</v>
      </c>
    </row>
    <row r="12" spans="1:6" ht="24" customHeight="1" x14ac:dyDescent="0.45">
      <c r="B12" s="24"/>
      <c r="C12" s="24"/>
      <c r="D12" s="24"/>
      <c r="E12" s="24"/>
      <c r="F12" s="24"/>
    </row>
    <row r="13" spans="1:6" ht="24" customHeight="1" x14ac:dyDescent="0.45">
      <c r="B13" s="23"/>
      <c r="C13" s="23"/>
      <c r="D13" s="23"/>
      <c r="E13" s="23"/>
      <c r="F13" s="23"/>
    </row>
    <row r="14" spans="1:6" ht="24" customHeight="1" x14ac:dyDescent="0.45">
      <c r="B14" s="24"/>
      <c r="C14" s="24"/>
      <c r="D14" s="24"/>
      <c r="E14" s="24"/>
      <c r="F14" s="24"/>
    </row>
    <row r="15" spans="1:6" ht="24" customHeight="1" x14ac:dyDescent="0.45">
      <c r="B15" s="23"/>
      <c r="C15" s="23"/>
      <c r="D15" s="23"/>
      <c r="E15" s="23"/>
      <c r="F15" s="23"/>
    </row>
    <row r="16" spans="1:6" ht="24" customHeight="1" x14ac:dyDescent="0.45">
      <c r="B16" s="24"/>
      <c r="C16" s="24"/>
      <c r="D16" s="24"/>
      <c r="E16" s="24"/>
      <c r="F16" s="24"/>
    </row>
    <row r="17" spans="1:6" x14ac:dyDescent="0.45">
      <c r="A17" s="35" t="s">
        <v>109</v>
      </c>
      <c r="B17" s="30"/>
      <c r="C17" s="30"/>
      <c r="D17" s="30"/>
      <c r="E17" s="30"/>
      <c r="F17" s="30"/>
    </row>
    <row r="18" spans="1:6" x14ac:dyDescent="0.45">
      <c r="A18" s="26"/>
      <c r="B18" s="26" t="s">
        <v>104</v>
      </c>
      <c r="C18" s="26" t="s">
        <v>98</v>
      </c>
      <c r="D18" s="26" t="s">
        <v>105</v>
      </c>
      <c r="E18" s="26" t="s">
        <v>106</v>
      </c>
      <c r="F18" s="26" t="s">
        <v>107</v>
      </c>
    </row>
    <row r="19" spans="1:6" ht="24" customHeight="1" x14ac:dyDescent="0.45">
      <c r="B19" s="23"/>
      <c r="C19" s="23"/>
      <c r="D19" s="23"/>
      <c r="E19" s="23"/>
      <c r="F19" s="23"/>
    </row>
    <row r="20" spans="1:6" ht="24" customHeight="1" x14ac:dyDescent="0.45">
      <c r="B20" s="24"/>
      <c r="C20" s="24"/>
      <c r="D20" s="24"/>
      <c r="E20" s="24"/>
      <c r="F20" s="24"/>
    </row>
    <row r="21" spans="1:6" ht="24" customHeight="1" x14ac:dyDescent="0.45">
      <c r="B21" s="23"/>
      <c r="C21" s="23"/>
      <c r="D21" s="23"/>
      <c r="E21" s="23"/>
      <c r="F21" s="23"/>
    </row>
    <row r="22" spans="1:6" ht="24" customHeight="1" x14ac:dyDescent="0.45">
      <c r="B22" s="24"/>
      <c r="C22" s="24"/>
      <c r="D22" s="24"/>
      <c r="E22" s="24"/>
      <c r="F22" s="24"/>
    </row>
    <row r="23" spans="1:6" ht="24" customHeight="1" x14ac:dyDescent="0.45">
      <c r="B23" s="23"/>
      <c r="C23" s="23"/>
      <c r="D23" s="23"/>
      <c r="E23" s="23"/>
      <c r="F23" s="23"/>
    </row>
    <row r="24" spans="1:6" x14ac:dyDescent="0.45">
      <c r="A24" s="33" t="s">
        <v>110</v>
      </c>
      <c r="B24" s="30"/>
      <c r="C24" s="30"/>
      <c r="D24" s="30"/>
      <c r="E24" s="30"/>
      <c r="F24" s="30"/>
    </row>
    <row r="25" spans="1:6" x14ac:dyDescent="0.45">
      <c r="A25" s="27"/>
      <c r="B25" s="27" t="s">
        <v>104</v>
      </c>
      <c r="C25" s="27" t="s">
        <v>98</v>
      </c>
      <c r="D25" s="27" t="s">
        <v>105</v>
      </c>
      <c r="E25" s="27" t="s">
        <v>106</v>
      </c>
      <c r="F25" s="27" t="s">
        <v>107</v>
      </c>
    </row>
    <row r="26" spans="1:6" ht="24" customHeight="1" x14ac:dyDescent="0.45">
      <c r="B26" s="24"/>
      <c r="C26" s="24"/>
      <c r="D26" s="24"/>
      <c r="E26" s="24"/>
      <c r="F26" s="24"/>
    </row>
    <row r="27" spans="1:6" ht="24" customHeight="1" x14ac:dyDescent="0.45">
      <c r="B27" s="23"/>
      <c r="C27" s="23"/>
      <c r="D27" s="23"/>
      <c r="E27" s="23"/>
      <c r="F27" s="23"/>
    </row>
    <row r="28" spans="1:6" ht="24" customHeight="1" x14ac:dyDescent="0.45">
      <c r="B28" s="24"/>
      <c r="C28" s="24"/>
      <c r="D28" s="24"/>
      <c r="E28" s="24"/>
      <c r="F28" s="24"/>
    </row>
    <row r="29" spans="1:6" ht="24" customHeight="1" x14ac:dyDescent="0.45">
      <c r="B29" s="23"/>
      <c r="C29" s="23"/>
      <c r="D29" s="23"/>
      <c r="E29" s="23"/>
      <c r="F29" s="23"/>
    </row>
    <row r="30" spans="1:6" ht="24" customHeight="1" x14ac:dyDescent="0.45">
      <c r="B30" s="24"/>
      <c r="C30" s="24"/>
      <c r="D30" s="24"/>
      <c r="E30" s="24"/>
      <c r="F30" s="24"/>
    </row>
  </sheetData>
  <mergeCells count="6">
    <mergeCell ref="A3:F3"/>
    <mergeCell ref="B1:F1"/>
    <mergeCell ref="A24:F24"/>
    <mergeCell ref="A2:F2"/>
    <mergeCell ref="A10:F10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showGridLines="0" tabSelected="1" workbookViewId="0">
      <selection activeCell="A2" sqref="A2:H2"/>
    </sheetView>
  </sheetViews>
  <sheetFormatPr defaultRowHeight="14.25" x14ac:dyDescent="0.45"/>
  <cols>
    <col min="1" max="1" width="5.46484375" customWidth="1"/>
    <col min="2" max="2" width="28" customWidth="1"/>
    <col min="3" max="3" width="60" customWidth="1"/>
    <col min="8" max="8" width="2" customWidth="1"/>
  </cols>
  <sheetData>
    <row r="1" spans="1:8" ht="36" customHeight="1" x14ac:dyDescent="0.45">
      <c r="A1" s="1" t="e" vm="1">
        <v>#VALUE!</v>
      </c>
      <c r="B1" s="29" t="s">
        <v>156</v>
      </c>
      <c r="C1" s="30"/>
      <c r="D1" s="30"/>
      <c r="E1" s="30"/>
      <c r="F1" s="30"/>
      <c r="G1" s="30"/>
      <c r="H1" s="30"/>
    </row>
    <row r="2" spans="1:8" x14ac:dyDescent="0.45">
      <c r="A2" s="31" t="s">
        <v>111</v>
      </c>
      <c r="B2" s="30"/>
      <c r="C2" s="30"/>
      <c r="D2" s="30"/>
      <c r="E2" s="30"/>
      <c r="F2" s="30"/>
      <c r="G2" s="30"/>
      <c r="H2" s="30"/>
    </row>
    <row r="3" spans="1:8" x14ac:dyDescent="0.45">
      <c r="A3" s="32" t="s">
        <v>112</v>
      </c>
      <c r="B3" s="30"/>
      <c r="C3" s="30"/>
      <c r="D3" s="30"/>
      <c r="E3" s="30"/>
      <c r="F3" s="30"/>
      <c r="G3" s="30"/>
      <c r="H3" s="30"/>
    </row>
    <row r="4" spans="1:8" ht="20" customHeight="1" x14ac:dyDescent="0.45">
      <c r="B4" s="28" t="s">
        <v>113</v>
      </c>
      <c r="C4" s="36" t="s">
        <v>114</v>
      </c>
      <c r="D4" s="30"/>
      <c r="E4" s="30"/>
      <c r="F4" s="30"/>
      <c r="G4" s="30"/>
      <c r="H4" s="30"/>
    </row>
    <row r="5" spans="1:8" ht="20" customHeight="1" x14ac:dyDescent="0.45">
      <c r="B5" s="28" t="s">
        <v>115</v>
      </c>
      <c r="C5" s="36" t="s">
        <v>116</v>
      </c>
      <c r="D5" s="30"/>
      <c r="E5" s="30"/>
      <c r="F5" s="30"/>
      <c r="G5" s="30"/>
      <c r="H5" s="30"/>
    </row>
    <row r="6" spans="1:8" ht="20" customHeight="1" x14ac:dyDescent="0.45">
      <c r="B6" s="28" t="s">
        <v>117</v>
      </c>
      <c r="C6" s="36" t="s">
        <v>118</v>
      </c>
      <c r="D6" s="30"/>
      <c r="E6" s="30"/>
      <c r="F6" s="30"/>
      <c r="G6" s="30"/>
      <c r="H6" s="30"/>
    </row>
    <row r="7" spans="1:8" ht="20" customHeight="1" x14ac:dyDescent="0.45">
      <c r="B7" s="28" t="s">
        <v>119</v>
      </c>
      <c r="C7" s="36" t="s">
        <v>120</v>
      </c>
      <c r="D7" s="30"/>
      <c r="E7" s="30"/>
      <c r="F7" s="30"/>
      <c r="G7" s="30"/>
      <c r="H7" s="30"/>
    </row>
    <row r="8" spans="1:8" ht="20" customHeight="1" x14ac:dyDescent="0.45">
      <c r="B8" s="28" t="s">
        <v>121</v>
      </c>
      <c r="C8" s="36" t="s">
        <v>122</v>
      </c>
      <c r="D8" s="30"/>
      <c r="E8" s="30"/>
      <c r="F8" s="30"/>
      <c r="G8" s="30"/>
      <c r="H8" s="30"/>
    </row>
    <row r="12" spans="1:8" x14ac:dyDescent="0.45">
      <c r="A12" s="32" t="s">
        <v>123</v>
      </c>
      <c r="B12" s="30"/>
      <c r="C12" s="30"/>
      <c r="D12" s="30"/>
      <c r="E12" s="30"/>
      <c r="F12" s="30"/>
      <c r="G12" s="30"/>
      <c r="H12" s="30"/>
    </row>
    <row r="13" spans="1:8" ht="20" customHeight="1" x14ac:dyDescent="0.45">
      <c r="B13" s="28" t="s">
        <v>124</v>
      </c>
      <c r="C13" s="36" t="s">
        <v>125</v>
      </c>
      <c r="D13" s="30"/>
      <c r="E13" s="30"/>
      <c r="F13" s="30"/>
      <c r="G13" s="30"/>
      <c r="H13" s="30"/>
    </row>
    <row r="14" spans="1:8" ht="20" customHeight="1" x14ac:dyDescent="0.45">
      <c r="B14" s="28" t="s">
        <v>126</v>
      </c>
      <c r="C14" s="36" t="s">
        <v>127</v>
      </c>
      <c r="D14" s="30"/>
      <c r="E14" s="30"/>
      <c r="F14" s="30"/>
      <c r="G14" s="30"/>
      <c r="H14" s="30"/>
    </row>
    <row r="15" spans="1:8" ht="20" customHeight="1" x14ac:dyDescent="0.45">
      <c r="B15" s="28" t="s">
        <v>128</v>
      </c>
      <c r="C15" s="36" t="s">
        <v>129</v>
      </c>
      <c r="D15" s="30"/>
      <c r="E15" s="30"/>
      <c r="F15" s="30"/>
      <c r="G15" s="30"/>
      <c r="H15" s="30"/>
    </row>
    <row r="16" spans="1:8" ht="20" customHeight="1" x14ac:dyDescent="0.45">
      <c r="B16" s="28" t="s">
        <v>130</v>
      </c>
      <c r="C16" s="36" t="s">
        <v>131</v>
      </c>
      <c r="D16" s="30"/>
      <c r="E16" s="30"/>
      <c r="F16" s="30"/>
      <c r="G16" s="30"/>
      <c r="H16" s="30"/>
    </row>
    <row r="20" spans="1:8" x14ac:dyDescent="0.45">
      <c r="A20" s="32" t="s">
        <v>132</v>
      </c>
      <c r="B20" s="30"/>
      <c r="C20" s="30"/>
      <c r="D20" s="30"/>
      <c r="E20" s="30"/>
      <c r="F20" s="30"/>
      <c r="G20" s="30"/>
      <c r="H20" s="30"/>
    </row>
    <row r="21" spans="1:8" ht="20" customHeight="1" x14ac:dyDescent="0.45">
      <c r="B21" s="28" t="s">
        <v>133</v>
      </c>
      <c r="C21" s="36" t="s">
        <v>134</v>
      </c>
      <c r="D21" s="30"/>
      <c r="E21" s="30"/>
      <c r="F21" s="30"/>
      <c r="G21" s="30"/>
      <c r="H21" s="30"/>
    </row>
    <row r="22" spans="1:8" ht="20" customHeight="1" x14ac:dyDescent="0.45">
      <c r="B22" s="28" t="s">
        <v>130</v>
      </c>
      <c r="C22" s="36" t="s">
        <v>135</v>
      </c>
      <c r="D22" s="30"/>
      <c r="E22" s="30"/>
      <c r="F22" s="30"/>
      <c r="G22" s="30"/>
      <c r="H22" s="30"/>
    </row>
    <row r="23" spans="1:8" ht="20" customHeight="1" x14ac:dyDescent="0.45">
      <c r="B23" s="28" t="s">
        <v>136</v>
      </c>
      <c r="C23" s="36" t="s">
        <v>137</v>
      </c>
      <c r="D23" s="30"/>
      <c r="E23" s="30"/>
      <c r="F23" s="30"/>
      <c r="G23" s="30"/>
      <c r="H23" s="30"/>
    </row>
    <row r="28" spans="1:8" x14ac:dyDescent="0.45">
      <c r="A28" s="32" t="s">
        <v>138</v>
      </c>
      <c r="B28" s="30"/>
      <c r="C28" s="30"/>
      <c r="D28" s="30"/>
      <c r="E28" s="30"/>
      <c r="F28" s="30"/>
      <c r="G28" s="30"/>
      <c r="H28" s="30"/>
    </row>
    <row r="29" spans="1:8" ht="20" customHeight="1" x14ac:dyDescent="0.45">
      <c r="B29" s="28" t="s">
        <v>139</v>
      </c>
      <c r="C29" s="36" t="s">
        <v>140</v>
      </c>
      <c r="D29" s="30"/>
      <c r="E29" s="30"/>
      <c r="F29" s="30"/>
      <c r="G29" s="30"/>
      <c r="H29" s="30"/>
    </row>
    <row r="30" spans="1:8" ht="20" customHeight="1" x14ac:dyDescent="0.45">
      <c r="B30" s="28" t="s">
        <v>141</v>
      </c>
      <c r="C30" s="36" t="s">
        <v>142</v>
      </c>
      <c r="D30" s="30"/>
      <c r="E30" s="30"/>
      <c r="F30" s="30"/>
      <c r="G30" s="30"/>
      <c r="H30" s="30"/>
    </row>
    <row r="31" spans="1:8" ht="20" customHeight="1" x14ac:dyDescent="0.45">
      <c r="B31" s="28" t="s">
        <v>143</v>
      </c>
      <c r="C31" s="36" t="s">
        <v>144</v>
      </c>
      <c r="D31" s="30"/>
      <c r="E31" s="30"/>
      <c r="F31" s="30"/>
      <c r="G31" s="30"/>
      <c r="H31" s="30"/>
    </row>
    <row r="36" spans="1:8" x14ac:dyDescent="0.45">
      <c r="A36" s="34" t="s">
        <v>145</v>
      </c>
      <c r="B36" s="30"/>
      <c r="C36" s="30"/>
      <c r="D36" s="30"/>
      <c r="E36" s="30"/>
      <c r="F36" s="30"/>
      <c r="G36" s="30"/>
      <c r="H36" s="30"/>
    </row>
    <row r="37" spans="1:8" ht="20" customHeight="1" x14ac:dyDescent="0.45">
      <c r="B37" s="28" t="s">
        <v>146</v>
      </c>
      <c r="C37" s="36" t="s">
        <v>147</v>
      </c>
      <c r="D37" s="30"/>
      <c r="E37" s="30"/>
      <c r="F37" s="30"/>
      <c r="G37" s="30"/>
      <c r="H37" s="30"/>
    </row>
    <row r="38" spans="1:8" ht="20" customHeight="1" x14ac:dyDescent="0.45">
      <c r="B38" s="28" t="s">
        <v>115</v>
      </c>
      <c r="C38" s="36" t="s">
        <v>148</v>
      </c>
      <c r="D38" s="30"/>
      <c r="E38" s="30"/>
      <c r="F38" s="30"/>
      <c r="G38" s="30"/>
      <c r="H38" s="30"/>
    </row>
    <row r="39" spans="1:8" ht="20" customHeight="1" x14ac:dyDescent="0.45">
      <c r="B39" s="28" t="s">
        <v>149</v>
      </c>
      <c r="C39" s="36" t="s">
        <v>150</v>
      </c>
      <c r="D39" s="30"/>
      <c r="E39" s="30"/>
      <c r="F39" s="30"/>
      <c r="G39" s="30"/>
      <c r="H39" s="30"/>
    </row>
  </sheetData>
  <mergeCells count="25">
    <mergeCell ref="C39:H39"/>
    <mergeCell ref="C8:H8"/>
    <mergeCell ref="C7:H7"/>
    <mergeCell ref="A12:H12"/>
    <mergeCell ref="A3:H3"/>
    <mergeCell ref="C38:H38"/>
    <mergeCell ref="C13:H13"/>
    <mergeCell ref="C16:H16"/>
    <mergeCell ref="C22:H22"/>
    <mergeCell ref="C31:H31"/>
    <mergeCell ref="A36:H36"/>
    <mergeCell ref="C21:H21"/>
    <mergeCell ref="C23:H23"/>
    <mergeCell ref="C37:H37"/>
    <mergeCell ref="C30:H30"/>
    <mergeCell ref="C15:H15"/>
    <mergeCell ref="C6:H6"/>
    <mergeCell ref="C14:H14"/>
    <mergeCell ref="C29:H29"/>
    <mergeCell ref="B1:H1"/>
    <mergeCell ref="A20:H20"/>
    <mergeCell ref="C5:H5"/>
    <mergeCell ref="A28:H28"/>
    <mergeCell ref="C4:H4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Günlük Rapor</vt:lpstr>
      <vt:lpstr>İmalat İlerlemesi</vt:lpstr>
      <vt:lpstr>Görev Durumu</vt:lpstr>
      <vt:lpstr>Satın Alma</vt:lpstr>
      <vt:lpstr>Notlar &amp; Sorunlar</vt:lpstr>
      <vt:lpstr>📘 Kullanım Kılavuzu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FONS SOLAR</cp:lastModifiedBy>
  <dcterms:created xsi:type="dcterms:W3CDTF">2026-06-25T07:27:08Z</dcterms:created>
  <dcterms:modified xsi:type="dcterms:W3CDTF">2026-06-25T07:50:25Z</dcterms:modified>
</cp:coreProperties>
</file>